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A:\Local Disk\Users\HP\MAIN DATA\RCR ENTERPRISES ALL FILE\WORK START COMPANY\NEO ITURKAA ENTERPRISES DIGHA SITE FILE\NEO ITURKAA ENTERPRISES\"/>
    </mc:Choice>
  </mc:AlternateContent>
  <bookViews>
    <workbookView xWindow="-120" yWindow="-120" windowWidth="20730" windowHeight="11040"/>
  </bookViews>
  <sheets>
    <sheet name="Sheet1" sheetId="1" r:id="rId1"/>
    <sheet name="Sheet2" sheetId="2" r:id="rId2"/>
    <sheet name="Tower C Wing" sheetId="3" r:id="rId3"/>
    <sheet name="supply" sheetId="4" r:id="rId4"/>
    <sheet name="Balance sheet" sheetId="13" r:id="rId5"/>
  </sheets>
  <externalReferences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5" i="13" l="1"/>
  <c r="D91" i="13" l="1"/>
  <c r="G34" i="3" l="1"/>
  <c r="I34" i="3" s="1"/>
  <c r="F34" i="3"/>
  <c r="H35" i="3"/>
  <c r="I35" i="3" s="1"/>
  <c r="F35" i="3"/>
  <c r="G33" i="3" l="1"/>
  <c r="I33" i="3" s="1"/>
  <c r="F33" i="3"/>
  <c r="D85" i="13" l="1"/>
  <c r="G32" i="3" l="1"/>
  <c r="I32" i="3" s="1"/>
  <c r="F32" i="3"/>
  <c r="F31" i="3" l="1"/>
  <c r="G31" i="3"/>
  <c r="I31" i="3" s="1"/>
  <c r="D80" i="13"/>
  <c r="D76" i="13" l="1"/>
  <c r="G30" i="3" l="1"/>
  <c r="I30" i="3" s="1"/>
  <c r="F30" i="3"/>
  <c r="D71" i="13" l="1"/>
  <c r="F28" i="3"/>
  <c r="F29" i="3"/>
  <c r="I29" i="3"/>
  <c r="G28" i="3"/>
  <c r="I28" i="3" s="1"/>
  <c r="G29" i="3"/>
  <c r="D65" i="13"/>
  <c r="G27" i="3"/>
  <c r="I27" i="3" s="1"/>
  <c r="F27" i="3"/>
  <c r="D36" i="13"/>
  <c r="D41" i="13" l="1"/>
  <c r="D46" i="13" l="1"/>
  <c r="D51" i="13" l="1"/>
  <c r="D56" i="13" l="1"/>
  <c r="D60" i="13" l="1"/>
  <c r="G26" i="3" l="1"/>
  <c r="I26" i="3" s="1"/>
  <c r="F26" i="3"/>
  <c r="F25" i="3" l="1"/>
  <c r="G25" i="3"/>
  <c r="I25" i="3" s="1"/>
  <c r="G24" i="3" l="1"/>
  <c r="I24" i="3" s="1"/>
  <c r="F24" i="3"/>
  <c r="D41" i="3"/>
  <c r="G23" i="3"/>
  <c r="I23" i="3" s="1"/>
  <c r="F23" i="3"/>
  <c r="G22" i="3" l="1"/>
  <c r="I22" i="3" s="1"/>
  <c r="F22" i="3"/>
  <c r="G21" i="3" l="1"/>
  <c r="I21" i="3" s="1"/>
  <c r="F21" i="3"/>
  <c r="G9" i="13" l="1"/>
  <c r="G14" i="13" s="1"/>
  <c r="G18" i="13" s="1"/>
  <c r="G23" i="13" s="1"/>
  <c r="G28" i="13" s="1"/>
  <c r="G33" i="13" s="1"/>
  <c r="G38" i="13" s="1"/>
  <c r="G43" i="13" s="1"/>
  <c r="G48" i="13" s="1"/>
  <c r="G53" i="13" s="1"/>
  <c r="G58" i="13" s="1"/>
  <c r="G62" i="13" s="1"/>
  <c r="G67" i="13" s="1"/>
  <c r="G73" i="13" s="1"/>
  <c r="G78" i="13" s="1"/>
  <c r="G82" i="13" s="1"/>
  <c r="G87" i="13" s="1"/>
  <c r="G93" i="13" s="1"/>
  <c r="G97" i="13" s="1"/>
  <c r="G102" i="13" s="1"/>
  <c r="D31" i="13"/>
  <c r="G20" i="3" l="1"/>
  <c r="I20" i="3" s="1"/>
  <c r="F20" i="3"/>
  <c r="D26" i="13" l="1"/>
  <c r="F19" i="3" l="1"/>
  <c r="G19" i="3"/>
  <c r="I19" i="3" s="1"/>
  <c r="D21" i="13" l="1"/>
  <c r="E21" i="13" l="1"/>
  <c r="G18" i="3"/>
  <c r="I18" i="3" s="1"/>
  <c r="F18" i="3"/>
  <c r="D16" i="13" l="1"/>
  <c r="E16" i="13" s="1"/>
  <c r="G17" i="3" l="1"/>
  <c r="D12" i="13"/>
  <c r="E12" i="13" s="1"/>
  <c r="F17" i="3"/>
  <c r="G16" i="3"/>
  <c r="F16" i="3"/>
  <c r="D7" i="13" l="1"/>
  <c r="E7" i="13" s="1"/>
  <c r="G15" i="3" l="1"/>
  <c r="G14" i="3"/>
  <c r="E41" i="3" l="1"/>
  <c r="C41" i="3"/>
  <c r="F14" i="3"/>
  <c r="D8" i="3" l="1"/>
  <c r="H36" i="3"/>
  <c r="H37" i="3"/>
  <c r="H38" i="3"/>
  <c r="H39" i="3"/>
  <c r="F15" i="3"/>
  <c r="I17" i="3"/>
  <c r="F36" i="3"/>
  <c r="G36" i="3" s="1"/>
  <c r="F37" i="3"/>
  <c r="G37" i="3" s="1"/>
  <c r="F38" i="3"/>
  <c r="G38" i="3" s="1"/>
  <c r="F39" i="3"/>
  <c r="G39" i="3" s="1"/>
  <c r="G41" i="3" s="1"/>
  <c r="I14" i="3"/>
  <c r="I38" i="3" l="1"/>
  <c r="I37" i="3"/>
  <c r="I36" i="3"/>
  <c r="H41" i="3"/>
  <c r="G22" i="2" s="1"/>
  <c r="F41" i="3"/>
  <c r="I16" i="3"/>
  <c r="F22" i="2"/>
  <c r="I39" i="3"/>
  <c r="I15" i="3"/>
  <c r="E24" i="2"/>
  <c r="E23" i="2"/>
  <c r="G21" i="4"/>
  <c r="D22" i="2"/>
  <c r="I41" i="3" l="1"/>
  <c r="I8" i="3"/>
  <c r="H23" i="2"/>
  <c r="H24" i="2"/>
  <c r="I23" i="2"/>
  <c r="I24" i="2"/>
  <c r="J24" i="2"/>
  <c r="J23" i="2"/>
  <c r="I8" i="2"/>
  <c r="I4" i="4" s="1"/>
  <c r="A14" i="2"/>
  <c r="B3" i="3" s="1"/>
  <c r="A16" i="2"/>
  <c r="A13" i="2"/>
  <c r="I9" i="2"/>
  <c r="A11" i="2"/>
  <c r="A10" i="2"/>
  <c r="A9" i="2"/>
  <c r="A3" i="4" s="1"/>
  <c r="G8" i="3" l="1"/>
  <c r="E22" i="2" s="1"/>
  <c r="K24" i="2"/>
  <c r="B5" i="3"/>
  <c r="B2" i="3"/>
  <c r="I16" i="4"/>
  <c r="F16" i="4"/>
  <c r="E19" i="4" s="1"/>
  <c r="E21" i="4" s="1"/>
  <c r="I21" i="4" s="1"/>
  <c r="K23" i="2"/>
  <c r="I22" i="2" l="1"/>
  <c r="I26" i="2" s="1"/>
  <c r="I30" i="2" s="1"/>
  <c r="H22" i="2"/>
  <c r="J22" i="2" l="1"/>
  <c r="K22" i="2" s="1"/>
  <c r="I32" i="2"/>
  <c r="J26" i="2" l="1"/>
  <c r="J30" i="2" s="1"/>
  <c r="K26" i="2"/>
  <c r="C28" i="1" l="1"/>
  <c r="D100" i="13" s="1"/>
  <c r="K30" i="2"/>
  <c r="K32" i="2" s="1"/>
  <c r="J33" i="2"/>
  <c r="E100" i="13" l="1"/>
  <c r="H100" i="13"/>
  <c r="K100" i="13"/>
  <c r="F100" i="13"/>
  <c r="E91" i="13"/>
  <c r="K91" i="13"/>
  <c r="H91" i="13"/>
  <c r="H85" i="13"/>
  <c r="K85" i="13"/>
  <c r="E85" i="13"/>
  <c r="F85" i="13" s="1"/>
  <c r="K80" i="13"/>
  <c r="E80" i="13"/>
  <c r="F80" i="13" s="1"/>
  <c r="H80" i="13"/>
  <c r="H76" i="13"/>
  <c r="K76" i="13"/>
  <c r="E76" i="13"/>
  <c r="F76" i="13" s="1"/>
  <c r="H65" i="13"/>
  <c r="E65" i="13"/>
  <c r="F65" i="13" s="1"/>
  <c r="K51" i="13"/>
  <c r="H41" i="13"/>
  <c r="H36" i="13"/>
  <c r="K36" i="13"/>
  <c r="E36" i="13"/>
  <c r="F36" i="13" s="1"/>
  <c r="K31" i="13"/>
  <c r="H31" i="13"/>
  <c r="E31" i="13"/>
  <c r="F31" i="13" s="1"/>
  <c r="E26" i="13"/>
  <c r="F26" i="13" s="1"/>
  <c r="H26" i="13"/>
  <c r="K26" i="13"/>
  <c r="F21" i="13"/>
  <c r="H21" i="13"/>
  <c r="K21" i="13"/>
  <c r="K16" i="13"/>
  <c r="F16" i="13"/>
  <c r="H16" i="13"/>
  <c r="D9" i="13"/>
  <c r="J32" i="2"/>
  <c r="J34" i="2" s="1"/>
  <c r="C35" i="1"/>
  <c r="C36" i="1"/>
  <c r="E95" i="13" l="1"/>
  <c r="H95" i="13"/>
  <c r="K95" i="13"/>
  <c r="F95" i="13"/>
  <c r="F91" i="13"/>
  <c r="K65" i="13"/>
  <c r="H71" i="13"/>
  <c r="K71" i="13"/>
  <c r="E71" i="13"/>
  <c r="F71" i="13" s="1"/>
  <c r="H51" i="13"/>
  <c r="H60" i="13"/>
  <c r="K60" i="13"/>
  <c r="E60" i="13"/>
  <c r="F60" i="13" s="1"/>
  <c r="E51" i="13"/>
  <c r="F51" i="13" s="1"/>
  <c r="H56" i="13"/>
  <c r="E56" i="13"/>
  <c r="F56" i="13" s="1"/>
  <c r="K56" i="13"/>
  <c r="K41" i="13"/>
  <c r="E41" i="13"/>
  <c r="F41" i="13" s="1"/>
  <c r="K46" i="13"/>
  <c r="H46" i="13"/>
  <c r="E46" i="13"/>
  <c r="F46" i="13" s="1"/>
  <c r="H12" i="13"/>
  <c r="K12" i="13"/>
  <c r="F12" i="13"/>
  <c r="D14" i="13"/>
  <c r="D18" i="13" s="1"/>
  <c r="D23" i="13" s="1"/>
  <c r="D28" i="13" s="1"/>
  <c r="D33" i="13" s="1"/>
  <c r="D38" i="13" s="1"/>
  <c r="D43" i="13" s="1"/>
  <c r="D48" i="13" s="1"/>
  <c r="D53" i="13" s="1"/>
  <c r="D58" i="13" s="1"/>
  <c r="D62" i="13" s="1"/>
  <c r="D67" i="13" s="1"/>
  <c r="D73" i="13" s="1"/>
  <c r="D78" i="13" s="1"/>
  <c r="D82" i="13" s="1"/>
  <c r="D87" i="13" s="1"/>
  <c r="D93" i="13" s="1"/>
  <c r="D97" i="13" s="1"/>
  <c r="D102" i="13" s="1"/>
  <c r="H7" i="13"/>
  <c r="H9" i="13" s="1"/>
  <c r="K7" i="13"/>
  <c r="K9" i="13" s="1"/>
  <c r="E9" i="13"/>
  <c r="C38" i="1"/>
  <c r="K14" i="13" l="1"/>
  <c r="K18" i="13" s="1"/>
  <c r="K23" i="13" s="1"/>
  <c r="K28" i="13" s="1"/>
  <c r="K33" i="13" s="1"/>
  <c r="K38" i="13" s="1"/>
  <c r="K43" i="13" s="1"/>
  <c r="K48" i="13" s="1"/>
  <c r="K53" i="13" s="1"/>
  <c r="K58" i="13" s="1"/>
  <c r="K62" i="13" s="1"/>
  <c r="K67" i="13" s="1"/>
  <c r="K73" i="13" s="1"/>
  <c r="K78" i="13" s="1"/>
  <c r="K82" i="13" s="1"/>
  <c r="K87" i="13" s="1"/>
  <c r="K93" i="13" s="1"/>
  <c r="K97" i="13" s="1"/>
  <c r="K102" i="13" s="1"/>
  <c r="H14" i="13"/>
  <c r="H18" i="13" s="1"/>
  <c r="E14" i="13"/>
  <c r="E18" i="13" s="1"/>
  <c r="E23" i="13" s="1"/>
  <c r="E28" i="13" s="1"/>
  <c r="E33" i="13" s="1"/>
  <c r="E38" i="13" s="1"/>
  <c r="E43" i="13" s="1"/>
  <c r="E48" i="13" s="1"/>
  <c r="E53" i="13" s="1"/>
  <c r="E58" i="13" s="1"/>
  <c r="E62" i="13" s="1"/>
  <c r="E67" i="13" s="1"/>
  <c r="E73" i="13" s="1"/>
  <c r="E78" i="13" s="1"/>
  <c r="E82" i="13" s="1"/>
  <c r="E87" i="13" s="1"/>
  <c r="E93" i="13" s="1"/>
  <c r="E97" i="13" s="1"/>
  <c r="E102" i="13" s="1"/>
  <c r="I9" i="13"/>
  <c r="F7" i="13"/>
  <c r="F9" i="13" s="1"/>
  <c r="F14" i="13" s="1"/>
  <c r="F18" i="13" s="1"/>
  <c r="F23" i="13" s="1"/>
  <c r="F28" i="13" s="1"/>
  <c r="F33" i="13" s="1"/>
  <c r="F38" i="13" s="1"/>
  <c r="I14" i="13" l="1"/>
  <c r="J14" i="13" s="1"/>
  <c r="L14" i="13" s="1"/>
  <c r="F43" i="13"/>
  <c r="F48" i="13" s="1"/>
  <c r="F53" i="13" s="1"/>
  <c r="F58" i="13" s="1"/>
  <c r="F62" i="13" s="1"/>
  <c r="F67" i="13" s="1"/>
  <c r="F73" i="13" s="1"/>
  <c r="F78" i="13" s="1"/>
  <c r="F82" i="13" s="1"/>
  <c r="F87" i="13" s="1"/>
  <c r="F93" i="13" s="1"/>
  <c r="F97" i="13" s="1"/>
  <c r="F102" i="13" s="1"/>
  <c r="I18" i="13"/>
  <c r="H23" i="13"/>
  <c r="J9" i="13"/>
  <c r="L9" i="13" s="1"/>
  <c r="I23" i="13" l="1"/>
  <c r="H28" i="13"/>
  <c r="J18" i="13"/>
  <c r="L18" i="13" s="1"/>
  <c r="I28" i="13" l="1"/>
  <c r="H33" i="13"/>
  <c r="H38" i="13" s="1"/>
  <c r="J23" i="13"/>
  <c r="L23" i="13" s="1"/>
  <c r="I38" i="13" l="1"/>
  <c r="J38" i="13" s="1"/>
  <c r="H43" i="13"/>
  <c r="I33" i="13"/>
  <c r="J28" i="13"/>
  <c r="L28" i="13" s="1"/>
  <c r="I43" i="13" l="1"/>
  <c r="J43" i="13" s="1"/>
  <c r="L43" i="13" s="1"/>
  <c r="H48" i="13"/>
  <c r="J33" i="13"/>
  <c r="L33" i="13" s="1"/>
  <c r="L38" i="13"/>
  <c r="I48" i="13" l="1"/>
  <c r="J48" i="13" s="1"/>
  <c r="L48" i="13" s="1"/>
  <c r="H53" i="13"/>
  <c r="I53" i="13" l="1"/>
  <c r="J53" i="13" s="1"/>
  <c r="L53" i="13" s="1"/>
  <c r="H58" i="13"/>
  <c r="I58" i="13" l="1"/>
  <c r="J58" i="13" s="1"/>
  <c r="L58" i="13" s="1"/>
  <c r="H62" i="13"/>
  <c r="I62" i="13" l="1"/>
  <c r="J62" i="13" s="1"/>
  <c r="L62" i="13" s="1"/>
  <c r="H67" i="13"/>
  <c r="I67" i="13" l="1"/>
  <c r="J67" i="13" s="1"/>
  <c r="L67" i="13" s="1"/>
  <c r="H73" i="13"/>
  <c r="I73" i="13" l="1"/>
  <c r="J73" i="13" s="1"/>
  <c r="L73" i="13" s="1"/>
  <c r="H78" i="13"/>
  <c r="I78" i="13" l="1"/>
  <c r="J78" i="13" s="1"/>
  <c r="L78" i="13" s="1"/>
  <c r="H82" i="13"/>
  <c r="H87" i="13" s="1"/>
  <c r="H93" i="13" s="1"/>
  <c r="H97" i="13" s="1"/>
  <c r="I97" i="13" l="1"/>
  <c r="J97" i="13" s="1"/>
  <c r="H102" i="13"/>
  <c r="I102" i="13" s="1"/>
  <c r="J102" i="13" s="1"/>
  <c r="L102" i="13" s="1"/>
  <c r="I93" i="13"/>
  <c r="J93" i="13" s="1"/>
  <c r="L97" i="13"/>
  <c r="I82" i="13"/>
  <c r="J82" i="13" s="1"/>
  <c r="L82" i="13" s="1"/>
  <c r="I87" i="13" l="1"/>
  <c r="J87" i="13" s="1"/>
  <c r="L87" i="13" s="1"/>
  <c r="L93" i="13"/>
</calcChain>
</file>

<file path=xl/sharedStrings.xml><?xml version="1.0" encoding="utf-8"?>
<sst xmlns="http://schemas.openxmlformats.org/spreadsheetml/2006/main" count="207" uniqueCount="146">
  <si>
    <t xml:space="preserve">To, </t>
  </si>
  <si>
    <t>Sr. No.</t>
  </si>
  <si>
    <t>Description</t>
  </si>
  <si>
    <t>Amount</t>
  </si>
  <si>
    <t>Taxable Amount</t>
  </si>
  <si>
    <t>Add CGST@9%</t>
  </si>
  <si>
    <t>Add SGST@9%</t>
  </si>
  <si>
    <t xml:space="preserve">Net Payable Amount </t>
  </si>
  <si>
    <t>RCR ENTERPRISES</t>
  </si>
  <si>
    <t xml:space="preserve">     A/C :-           088405500559</t>
  </si>
  <si>
    <t xml:space="preserve">     IFSC :-          ICIC0000884</t>
  </si>
  <si>
    <t>`</t>
  </si>
  <si>
    <t>To,</t>
  </si>
  <si>
    <t>Unit</t>
  </si>
  <si>
    <t>W.O.</t>
  </si>
  <si>
    <t>Rate</t>
  </si>
  <si>
    <t>Previous</t>
  </si>
  <si>
    <t>This Bill</t>
  </si>
  <si>
    <t>Cumulative</t>
  </si>
  <si>
    <t>No.</t>
  </si>
  <si>
    <t>Qty.</t>
  </si>
  <si>
    <t>Quantity</t>
  </si>
  <si>
    <t>Sft.</t>
  </si>
  <si>
    <t>Nos.</t>
  </si>
  <si>
    <t xml:space="preserve">Total Amount </t>
  </si>
  <si>
    <t>ADD CGST @9%</t>
  </si>
  <si>
    <t>Gross Amount</t>
  </si>
  <si>
    <t>TDS 1% Less amount</t>
  </si>
  <si>
    <t xml:space="preserve">Balance </t>
  </si>
  <si>
    <t>BUA Building -</t>
  </si>
  <si>
    <t>Approximate Area</t>
  </si>
  <si>
    <t>CIVIL WORK</t>
  </si>
  <si>
    <t>@</t>
  </si>
  <si>
    <t>Sr.</t>
  </si>
  <si>
    <t>Particulars</t>
  </si>
  <si>
    <t>Work done</t>
  </si>
  <si>
    <t>of item</t>
  </si>
  <si>
    <t>19th slab</t>
  </si>
  <si>
    <t>Completion of LMR, OHWT  PARAPET WALL.</t>
  </si>
  <si>
    <t>TOTAL  AMOUNT</t>
  </si>
  <si>
    <t>Contractar : - RCR ENTERPRISES</t>
  </si>
  <si>
    <t>Date</t>
  </si>
  <si>
    <t>Challan No.</t>
  </si>
  <si>
    <t>Fitter</t>
  </si>
  <si>
    <t>Remarks</t>
  </si>
  <si>
    <t>Total (Nos)</t>
  </si>
  <si>
    <t>Nos</t>
  </si>
  <si>
    <t>TOTAL AMOUNT</t>
  </si>
  <si>
    <t>TAX INVOICE</t>
  </si>
  <si>
    <t>Sr. No</t>
  </si>
  <si>
    <t>.</t>
  </si>
  <si>
    <t>24th slab</t>
  </si>
  <si>
    <t>25th slab</t>
  </si>
  <si>
    <t>26th slab</t>
  </si>
  <si>
    <t>27th slab</t>
  </si>
  <si>
    <t>28th slab</t>
  </si>
  <si>
    <t>29th slab</t>
  </si>
  <si>
    <t>30th slab</t>
  </si>
  <si>
    <t>Description Contract basis work</t>
  </si>
  <si>
    <t xml:space="preserve">Hours </t>
  </si>
  <si>
    <t>Total Fitter Hours</t>
  </si>
  <si>
    <t>Total Lebour Hours</t>
  </si>
  <si>
    <t>SR. NO</t>
  </si>
  <si>
    <t>DATE</t>
  </si>
  <si>
    <t>RA BILLS</t>
  </si>
  <si>
    <t>BILL AMOUNT</t>
  </si>
  <si>
    <t>AMOUNT</t>
  </si>
  <si>
    <t>ACCOUNT CREDITED</t>
  </si>
  <si>
    <t>1%TDS BALANCE</t>
  </si>
  <si>
    <t>ADVANCE</t>
  </si>
  <si>
    <t>BALANCE</t>
  </si>
  <si>
    <t>GST AMOUNT</t>
  </si>
  <si>
    <t>Name of Work:-Reainforcemant Work.</t>
  </si>
  <si>
    <t>Part</t>
  </si>
  <si>
    <t>Sft</t>
  </si>
  <si>
    <t>Fitter Helfar</t>
  </si>
  <si>
    <t>FITTER HELFAR</t>
  </si>
  <si>
    <t>FITTER</t>
  </si>
  <si>
    <t>Reinforcement Work Done.</t>
  </si>
  <si>
    <t>Dept. Fitter Helper Supply.</t>
  </si>
  <si>
    <t>Dept. Fitter Supply.</t>
  </si>
  <si>
    <t>Reainforcemant</t>
  </si>
  <si>
    <t>Work</t>
  </si>
  <si>
    <t xml:space="preserve">AUTHORISED SIGNATORY  </t>
  </si>
  <si>
    <t xml:space="preserve">  NAME :- RCR ENTERPRISES                                        FOR</t>
  </si>
  <si>
    <t>16th slab</t>
  </si>
  <si>
    <t>17th slab</t>
  </si>
  <si>
    <t>18th slab</t>
  </si>
  <si>
    <t>20th slab</t>
  </si>
  <si>
    <t>21st slab</t>
  </si>
  <si>
    <t>22nd slab</t>
  </si>
  <si>
    <t>23rd slab</t>
  </si>
  <si>
    <t>31st slab</t>
  </si>
  <si>
    <t>32nd slab</t>
  </si>
  <si>
    <t>33rd slab</t>
  </si>
  <si>
    <t>34th slab</t>
  </si>
  <si>
    <t>35th slab</t>
  </si>
  <si>
    <t>36th slab</t>
  </si>
  <si>
    <t>37th slab</t>
  </si>
  <si>
    <t>38th slab</t>
  </si>
  <si>
    <t>39th slab</t>
  </si>
  <si>
    <t>Completion of Terrace Slab 40th slab</t>
  </si>
  <si>
    <t>NEO ITURKAA ENTERPRISES.</t>
  </si>
  <si>
    <t xml:space="preserve">ADD :- Office:- 101 1st Floor, Arihant Royale, Vaishali Nagar, </t>
  </si>
  <si>
    <t>Balrajeshwar Marg, Mulund (west) Mumbai :- 400080</t>
  </si>
  <si>
    <t>GST No. : 27AAJFN6629D1Z5</t>
  </si>
  <si>
    <t>Pan No. : AAJFN6629D</t>
  </si>
  <si>
    <t>Name Of Project :- Tower D Wing Galaxy Maplewood -Airoli.</t>
  </si>
  <si>
    <t>W. O. No. :-GALAXY/NEOITURKAA/2025-26/06</t>
  </si>
  <si>
    <t>17/09/2025</t>
  </si>
  <si>
    <t>NEFT</t>
  </si>
  <si>
    <t>LESS RETENTION@3%</t>
  </si>
  <si>
    <t xml:space="preserve">16-09-2025 BILL NO.04 DIGHA GALAXY. </t>
  </si>
  <si>
    <t xml:space="preserve">04-09-2025 BILL NO.03 DIGHA GALAXY. </t>
  </si>
  <si>
    <t xml:space="preserve">22-08-2025 BILL NO.02 DIGHA GALAXY. </t>
  </si>
  <si>
    <t xml:space="preserve">05-08-2025 BILL NO.01 DIGHA GALAXY. </t>
  </si>
  <si>
    <t>RETENTION 3%</t>
  </si>
  <si>
    <t xml:space="preserve">10-10-2025 BILL NO.05 DIGHA GALAXY. </t>
  </si>
  <si>
    <t xml:space="preserve">23-10-2025 BILL NO.06 DIGHA GALAXY. </t>
  </si>
  <si>
    <t xml:space="preserve">04-11-2025 BILL NO.07 DIGHA GALAXY. </t>
  </si>
  <si>
    <t xml:space="preserve">16-11-2025 BILL NO.08 DIGHA GALAXY. </t>
  </si>
  <si>
    <t xml:space="preserve">27-11-2025 BILL NO.09 DIGHA GALAXY. </t>
  </si>
  <si>
    <t xml:space="preserve">12-12-2025 BILL NO.10 DIGHA GALAXY. </t>
  </si>
  <si>
    <t>24/09/2025</t>
  </si>
  <si>
    <t>29/10/2025</t>
  </si>
  <si>
    <t>14/11/2025</t>
  </si>
  <si>
    <t>20/11/2025</t>
  </si>
  <si>
    <t>19/12/2025</t>
  </si>
  <si>
    <t xml:space="preserve">21-12-2025 BILL NO.11 DIGHA GALAXY. </t>
  </si>
  <si>
    <t xml:space="preserve">29-12-2025 BILL NO.12 DIGHA GALAXY. </t>
  </si>
  <si>
    <t xml:space="preserve">07-01-2026 BILL NO.13 DIGHA GALAXY. </t>
  </si>
  <si>
    <t xml:space="preserve">01-02-2026 BILL NO.14 DIGHA GALAXY. </t>
  </si>
  <si>
    <t xml:space="preserve">09-02-2026 BILL NO.15 DIGHA GALAXY. </t>
  </si>
  <si>
    <t>20/01/2026</t>
  </si>
  <si>
    <t>22/01/2026</t>
  </si>
  <si>
    <t xml:space="preserve">20-02-2026 BILL NO.16 DIGHA GALAXY. </t>
  </si>
  <si>
    <t xml:space="preserve">07-03-2026 BILL NO.17 DIGHA GALAXY. </t>
  </si>
  <si>
    <t>27/02/2026</t>
  </si>
  <si>
    <t xml:space="preserve">27-03-2026 BILL NO.18 DIGHA GALAXY. </t>
  </si>
  <si>
    <t>Labour's Supply MARCH 2026</t>
  </si>
  <si>
    <t xml:space="preserve">09-04-2026 BILL NO.19 DIGHA GALAXY. </t>
  </si>
  <si>
    <t>Invoice No. 004/2026-27</t>
  </si>
  <si>
    <t>Date : 05-05-2026</t>
  </si>
  <si>
    <t>Subject :- REF NO. : 20</t>
  </si>
  <si>
    <t>37Th Slab Reinforcement Work done Amount</t>
  </si>
  <si>
    <t xml:space="preserve">05-05-2026 BILL NO.20 DIGHA GALAXY.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</si>
</sst>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164" formatCode="_ * #,##0.00_ ;_ * \-#,##0.00_ ;_ * &quot;-&quot;??_ ;_ @_ "/>
    <numFmt numFmtId="165" formatCode="0.0"/>
    <numFmt numFmtId="166" formatCode="&quot;₹&quot;\ #,##0.00"/>
    <numFmt numFmtId="167" formatCode="#,##0.00;[Red]#,##0.00"/>
    <numFmt numFmtId="168" formatCode="0.0000"/>
    <numFmt numFmtId="169" formatCode="0.000"/>
    <numFmt numFmtId="170" formatCode="[$-409]d\-mmm\-yyyy;@"/>
    <numFmt numFmtId="171" formatCode="0.0_);\(0.0\)"/>
  </numFmts>
  <fonts count="6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1"/>
      <color rgb="FF00B050"/>
      <name val="Arial"/>
      <family val="2"/>
    </font>
    <font>
      <sz val="11"/>
      <color rgb="FF00B050"/>
      <name val="Arial"/>
      <family val="2"/>
    </font>
    <font>
      <sz val="10"/>
      <name val="Arial"/>
      <family val="2"/>
    </font>
    <font>
      <b/>
      <sz val="12"/>
      <name val="Century Gothic"/>
      <family val="2"/>
    </font>
    <font>
      <b/>
      <sz val="11"/>
      <name val="Century Gothic"/>
      <family val="2"/>
    </font>
    <font>
      <b/>
      <sz val="10"/>
      <name val="Century Gothic"/>
      <family val="2"/>
    </font>
    <font>
      <b/>
      <sz val="11"/>
      <name val="Calibri"/>
      <family val="2"/>
      <scheme val="minor"/>
    </font>
    <font>
      <sz val="8"/>
      <name val="Century Gothic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8"/>
      <name val="Century Gothic"/>
      <family val="2"/>
    </font>
    <font>
      <b/>
      <sz val="8"/>
      <name val="Calibri"/>
      <family val="2"/>
      <scheme val="minor"/>
    </font>
    <font>
      <b/>
      <sz val="11"/>
      <color rgb="FF00B0F0"/>
      <name val="Century Gothic"/>
      <family val="2"/>
    </font>
    <font>
      <b/>
      <sz val="11"/>
      <color theme="7"/>
      <name val="Century Gothic"/>
      <family val="2"/>
    </font>
    <font>
      <sz val="11"/>
      <color rgb="FF7030A0"/>
      <name val="Calibri"/>
      <family val="2"/>
      <scheme val="minor"/>
    </font>
    <font>
      <b/>
      <sz val="8"/>
      <color rgb="FF00B0F0"/>
      <name val="Century Gothic"/>
      <family val="2"/>
    </font>
    <font>
      <b/>
      <sz val="8"/>
      <color rgb="FF7030A0"/>
      <name val="Century Gothic"/>
      <family val="2"/>
    </font>
    <font>
      <b/>
      <sz val="8"/>
      <color rgb="FF7030A0"/>
      <name val="Calibri"/>
      <family val="2"/>
      <scheme val="minor"/>
    </font>
    <font>
      <b/>
      <sz val="9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0"/>
      <color rgb="FF7030A0"/>
      <name val="Calibri"/>
      <family val="2"/>
      <scheme val="minor"/>
    </font>
    <font>
      <b/>
      <sz val="10"/>
      <color theme="9" tint="-0.249977111117893"/>
      <name val="Calibri"/>
      <family val="2"/>
      <scheme val="minor"/>
    </font>
    <font>
      <b/>
      <sz val="10"/>
      <color rgb="FF00B050"/>
      <name val="Calibri"/>
      <family val="2"/>
      <scheme val="minor"/>
    </font>
    <font>
      <b/>
      <sz val="10"/>
      <color rgb="FF00B0F0"/>
      <name val="Calibri"/>
      <family val="2"/>
      <scheme val="minor"/>
    </font>
    <font>
      <b/>
      <sz val="10"/>
      <color theme="9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388600"/>
      <name val="Calibri"/>
      <family val="2"/>
      <scheme val="minor"/>
    </font>
    <font>
      <b/>
      <sz val="11"/>
      <color rgb="FF38860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1"/>
      <color rgb="FF4F4F00"/>
      <name val="Calibri"/>
      <family val="2"/>
      <scheme val="minor"/>
    </font>
    <font>
      <b/>
      <sz val="10"/>
      <color theme="6"/>
      <name val="Calibri"/>
      <family val="2"/>
      <scheme val="minor"/>
    </font>
    <font>
      <b/>
      <sz val="10"/>
      <color rgb="FF388600"/>
      <name val="Calibri"/>
      <family val="2"/>
      <scheme val="minor"/>
    </font>
    <font>
      <b/>
      <sz val="10"/>
      <color theme="8" tint="-0.249977111117893"/>
      <name val="Calibri"/>
      <family val="2"/>
      <scheme val="minor"/>
    </font>
    <font>
      <b/>
      <sz val="9"/>
      <color rgb="FF388600"/>
      <name val="Calibri"/>
      <family val="2"/>
      <scheme val="minor"/>
    </font>
    <font>
      <sz val="9"/>
      <color rgb="FF388600"/>
      <name val="Calibri"/>
      <family val="2"/>
      <scheme val="minor"/>
    </font>
    <font>
      <b/>
      <sz val="9"/>
      <color theme="9"/>
      <name val="Calibri"/>
      <family val="2"/>
      <scheme val="minor"/>
    </font>
    <font>
      <sz val="9"/>
      <color theme="9"/>
      <name val="Calibri"/>
      <family val="2"/>
      <scheme val="minor"/>
    </font>
    <font>
      <b/>
      <sz val="14"/>
      <color theme="9" tint="-0.499984740745262"/>
      <name val="Calibri"/>
      <family val="2"/>
      <scheme val="minor"/>
    </font>
    <font>
      <b/>
      <sz val="11"/>
      <color theme="9" tint="-0.499984740745262"/>
      <name val="Arial"/>
      <family val="2"/>
    </font>
    <font>
      <sz val="11"/>
      <color theme="9" tint="-0.499984740745262"/>
      <name val="Arial"/>
      <family val="2"/>
    </font>
    <font>
      <b/>
      <sz val="12"/>
      <color theme="9" tint="-0.499984740745262"/>
      <name val="Arial"/>
      <family val="2"/>
    </font>
    <font>
      <sz val="8"/>
      <color theme="1"/>
      <name val="Arial"/>
      <family val="2"/>
    </font>
    <font>
      <b/>
      <sz val="9"/>
      <color rgb="FF7030A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theme="9" tint="-0.249977111117893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7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/>
      <right style="thin">
        <color auto="1"/>
      </right>
      <top style="thin">
        <color indexed="64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/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 style="thin">
        <color indexed="64"/>
      </top>
      <bottom style="hair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hair">
        <color auto="1"/>
      </bottom>
      <diagonal/>
    </border>
    <border>
      <left style="medium">
        <color indexed="64"/>
      </left>
      <right style="thin">
        <color auto="1"/>
      </right>
      <top style="hair">
        <color auto="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" fillId="0" borderId="0"/>
    <xf numFmtId="0" fontId="10" fillId="0" borderId="0"/>
  </cellStyleXfs>
  <cellXfs count="332">
    <xf numFmtId="0" fontId="0" fillId="0" borderId="0" xfId="0"/>
    <xf numFmtId="0" fontId="4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5" fillId="0" borderId="8" xfId="0" applyFont="1" applyBorder="1" applyAlignment="1">
      <alignment vertical="center"/>
    </xf>
    <xf numFmtId="0" fontId="0" fillId="0" borderId="30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3" xfId="0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32" xfId="0" applyFont="1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4" xfId="0" applyBorder="1"/>
    <xf numFmtId="166" fontId="3" fillId="0" borderId="4" xfId="0" applyNumberFormat="1" applyFont="1" applyBorder="1" applyAlignment="1">
      <alignment horizontal="center"/>
    </xf>
    <xf numFmtId="0" fontId="0" fillId="0" borderId="4" xfId="0" applyBorder="1" applyAlignment="1">
      <alignment horizontal="center" vertical="center"/>
    </xf>
    <xf numFmtId="10" fontId="2" fillId="0" borderId="4" xfId="2" applyNumberFormat="1" applyFont="1" applyBorder="1" applyAlignment="1">
      <alignment horizontal="center" vertical="center"/>
    </xf>
    <xf numFmtId="10" fontId="2" fillId="0" borderId="4" xfId="0" applyNumberFormat="1" applyFont="1" applyBorder="1" applyAlignment="1">
      <alignment horizontal="center" vertical="center"/>
    </xf>
    <xf numFmtId="2" fontId="16" fillId="0" borderId="4" xfId="0" applyNumberFormat="1" applyFont="1" applyBorder="1" applyAlignment="1">
      <alignment horizontal="center" vertical="center"/>
    </xf>
    <xf numFmtId="0" fontId="18" fillId="0" borderId="4" xfId="0" applyFont="1" applyBorder="1" applyAlignment="1">
      <alignment horizontal="center" vertical="center" wrapText="1"/>
    </xf>
    <xf numFmtId="0" fontId="21" fillId="0" borderId="4" xfId="0" applyFont="1" applyBorder="1" applyAlignment="1">
      <alignment horizontal="center" vertical="center" wrapText="1"/>
    </xf>
    <xf numFmtId="9" fontId="0" fillId="0" borderId="4" xfId="2" applyFont="1" applyBorder="1" applyAlignment="1">
      <alignment horizontal="center" vertical="center"/>
    </xf>
    <xf numFmtId="2" fontId="0" fillId="0" borderId="4" xfId="2" applyNumberFormat="1" applyFont="1" applyBorder="1" applyAlignment="1">
      <alignment horizontal="center" vertical="center"/>
    </xf>
    <xf numFmtId="2" fontId="0" fillId="0" borderId="4" xfId="0" applyNumberForma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6" fillId="0" borderId="19" xfId="0" applyFont="1" applyBorder="1" applyAlignment="1">
      <alignment horizontal="center"/>
    </xf>
    <xf numFmtId="0" fontId="16" fillId="0" borderId="20" xfId="0" applyFont="1" applyBorder="1" applyAlignment="1">
      <alignment horizontal="center"/>
    </xf>
    <xf numFmtId="0" fontId="16" fillId="0" borderId="27" xfId="0" applyFont="1" applyBorder="1" applyAlignment="1">
      <alignment horizontal="center"/>
    </xf>
    <xf numFmtId="0" fontId="16" fillId="0" borderId="28" xfId="0" applyFont="1" applyBorder="1" applyAlignment="1">
      <alignment horizontal="center"/>
    </xf>
    <xf numFmtId="2" fontId="0" fillId="0" borderId="0" xfId="0" applyNumberFormat="1"/>
    <xf numFmtId="169" fontId="0" fillId="0" borderId="0" xfId="0" applyNumberFormat="1"/>
    <xf numFmtId="168" fontId="0" fillId="0" borderId="0" xfId="0" applyNumberFormat="1"/>
    <xf numFmtId="0" fontId="0" fillId="0" borderId="32" xfId="0" applyBorder="1" applyAlignment="1">
      <alignment horizontal="center" vertical="center"/>
    </xf>
    <xf numFmtId="2" fontId="3" fillId="0" borderId="4" xfId="0" applyNumberFormat="1" applyFont="1" applyBorder="1" applyAlignment="1">
      <alignment horizontal="center" vertical="center"/>
    </xf>
    <xf numFmtId="167" fontId="16" fillId="0" borderId="4" xfId="0" applyNumberFormat="1" applyFont="1" applyBorder="1" applyAlignment="1">
      <alignment horizontal="center" vertical="center"/>
    </xf>
    <xf numFmtId="2" fontId="16" fillId="0" borderId="4" xfId="2" applyNumberFormat="1" applyFont="1" applyBorder="1" applyAlignment="1">
      <alignment horizontal="center" vertical="center"/>
    </xf>
    <xf numFmtId="0" fontId="16" fillId="0" borderId="26" xfId="0" applyFont="1" applyBorder="1" applyAlignment="1">
      <alignment horizontal="center"/>
    </xf>
    <xf numFmtId="0" fontId="24" fillId="0" borderId="56" xfId="0" applyFont="1" applyBorder="1" applyAlignment="1">
      <alignment horizontal="center" vertical="center"/>
    </xf>
    <xf numFmtId="0" fontId="24" fillId="0" borderId="9" xfId="0" applyFont="1" applyBorder="1" applyAlignment="1">
      <alignment horizontal="center" vertical="center" wrapText="1"/>
    </xf>
    <xf numFmtId="0" fontId="24" fillId="0" borderId="57" xfId="0" applyFont="1" applyBorder="1" applyAlignment="1">
      <alignment horizontal="center" vertical="center" wrapText="1"/>
    </xf>
    <xf numFmtId="0" fontId="24" fillId="0" borderId="57" xfId="0" applyFont="1" applyBorder="1" applyAlignment="1">
      <alignment horizontal="center" vertical="center"/>
    </xf>
    <xf numFmtId="0" fontId="24" fillId="0" borderId="7" xfId="0" applyFont="1" applyBorder="1" applyAlignment="1">
      <alignment horizontal="center" vertical="center" wrapText="1"/>
    </xf>
    <xf numFmtId="0" fontId="25" fillId="0" borderId="58" xfId="0" applyFont="1" applyBorder="1" applyAlignment="1">
      <alignment vertical="center"/>
    </xf>
    <xf numFmtId="0" fontId="16" fillId="0" borderId="22" xfId="0" applyFont="1" applyBorder="1" applyAlignment="1">
      <alignment horizontal="center"/>
    </xf>
    <xf numFmtId="0" fontId="16" fillId="0" borderId="23" xfId="0" applyFont="1" applyBorder="1" applyAlignment="1">
      <alignment horizontal="center"/>
    </xf>
    <xf numFmtId="0" fontId="16" fillId="0" borderId="54" xfId="0" applyFont="1" applyBorder="1" applyAlignment="1">
      <alignment horizontal="center"/>
    </xf>
    <xf numFmtId="0" fontId="15" fillId="0" borderId="4" xfId="0" applyFont="1" applyBorder="1" applyAlignment="1">
      <alignment horizontal="left" vertical="center" wrapText="1"/>
    </xf>
    <xf numFmtId="0" fontId="15" fillId="0" borderId="4" xfId="0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center"/>
    </xf>
    <xf numFmtId="0" fontId="24" fillId="0" borderId="4" xfId="0" applyFont="1" applyBorder="1" applyAlignment="1">
      <alignment horizontal="center" vertical="center"/>
    </xf>
    <xf numFmtId="0" fontId="30" fillId="0" borderId="4" xfId="0" applyFont="1" applyBorder="1" applyAlignment="1">
      <alignment horizontal="center" vertical="center"/>
    </xf>
    <xf numFmtId="14" fontId="15" fillId="0" borderId="32" xfId="0" applyNumberFormat="1" applyFont="1" applyBorder="1" applyAlignment="1">
      <alignment horizontal="center" vertical="center"/>
    </xf>
    <xf numFmtId="0" fontId="23" fillId="0" borderId="33" xfId="0" applyFont="1" applyBorder="1" applyAlignment="1">
      <alignment vertical="center"/>
    </xf>
    <xf numFmtId="0" fontId="12" fillId="0" borderId="43" xfId="0" applyFont="1" applyBorder="1" applyAlignment="1">
      <alignment horizontal="center"/>
    </xf>
    <xf numFmtId="1" fontId="12" fillId="0" borderId="43" xfId="0" applyNumberFormat="1" applyFont="1" applyBorder="1" applyAlignment="1">
      <alignment horizontal="center"/>
    </xf>
    <xf numFmtId="0" fontId="16" fillId="0" borderId="15" xfId="0" applyFont="1" applyBorder="1" applyAlignment="1">
      <alignment horizontal="center"/>
    </xf>
    <xf numFmtId="0" fontId="16" fillId="0" borderId="16" xfId="0" applyFont="1" applyBorder="1" applyAlignment="1">
      <alignment horizontal="center"/>
    </xf>
    <xf numFmtId="0" fontId="12" fillId="0" borderId="42" xfId="0" applyFont="1" applyBorder="1" applyAlignment="1">
      <alignment horizontal="center"/>
    </xf>
    <xf numFmtId="0" fontId="14" fillId="0" borderId="44" xfId="0" applyFont="1" applyBorder="1"/>
    <xf numFmtId="0" fontId="16" fillId="0" borderId="55" xfId="0" applyFont="1" applyBorder="1" applyAlignment="1">
      <alignment horizontal="center"/>
    </xf>
    <xf numFmtId="0" fontId="12" fillId="0" borderId="62" xfId="0" applyFont="1" applyBorder="1" applyAlignment="1">
      <alignment horizontal="center"/>
    </xf>
    <xf numFmtId="0" fontId="12" fillId="0" borderId="63" xfId="0" applyFont="1" applyBorder="1" applyAlignment="1">
      <alignment horizontal="center"/>
    </xf>
    <xf numFmtId="2" fontId="11" fillId="0" borderId="63" xfId="0" applyNumberFormat="1" applyFont="1" applyBorder="1" applyAlignment="1">
      <alignment horizontal="center"/>
    </xf>
    <xf numFmtId="2" fontId="26" fillId="0" borderId="63" xfId="0" applyNumberFormat="1" applyFont="1" applyBorder="1" applyAlignment="1">
      <alignment horizontal="center" vertical="center"/>
    </xf>
    <xf numFmtId="2" fontId="27" fillId="0" borderId="63" xfId="0" applyNumberFormat="1" applyFont="1" applyBorder="1" applyAlignment="1">
      <alignment horizontal="center" vertical="center"/>
    </xf>
    <xf numFmtId="0" fontId="12" fillId="0" borderId="64" xfId="0" applyFont="1" applyBorder="1" applyAlignment="1">
      <alignment horizontal="center"/>
    </xf>
    <xf numFmtId="0" fontId="0" fillId="0" borderId="46" xfId="0" applyBorder="1"/>
    <xf numFmtId="0" fontId="0" fillId="0" borderId="32" xfId="0" applyBorder="1"/>
    <xf numFmtId="166" fontId="19" fillId="0" borderId="33" xfId="0" applyNumberFormat="1" applyFont="1" applyBorder="1" applyAlignment="1">
      <alignment horizontal="center"/>
    </xf>
    <xf numFmtId="0" fontId="3" fillId="0" borderId="32" xfId="0" applyFont="1" applyBorder="1"/>
    <xf numFmtId="166" fontId="20" fillId="4" borderId="33" xfId="0" applyNumberFormat="1" applyFont="1" applyFill="1" applyBorder="1" applyAlignment="1">
      <alignment horizontal="center"/>
    </xf>
    <xf numFmtId="4" fontId="16" fillId="0" borderId="33" xfId="0" applyNumberFormat="1" applyFont="1" applyBorder="1" applyAlignment="1">
      <alignment horizontal="center" vertical="center"/>
    </xf>
    <xf numFmtId="2" fontId="0" fillId="0" borderId="33" xfId="0" applyNumberFormat="1" applyBorder="1" applyAlignment="1">
      <alignment horizontal="center" vertical="center"/>
    </xf>
    <xf numFmtId="2" fontId="0" fillId="0" borderId="36" xfId="0" applyNumberFormat="1" applyBorder="1" applyAlignment="1">
      <alignment horizontal="center"/>
    </xf>
    <xf numFmtId="2" fontId="0" fillId="0" borderId="37" xfId="0" applyNumberFormat="1" applyBorder="1" applyAlignment="1">
      <alignment horizontal="center"/>
    </xf>
    <xf numFmtId="0" fontId="31" fillId="5" borderId="46" xfId="0" applyFont="1" applyFill="1" applyBorder="1" applyAlignment="1">
      <alignment horizontal="center" vertical="center" wrapText="1"/>
    </xf>
    <xf numFmtId="0" fontId="31" fillId="5" borderId="47" xfId="0" applyFont="1" applyFill="1" applyBorder="1" applyAlignment="1">
      <alignment horizontal="center" vertical="center"/>
    </xf>
    <xf numFmtId="0" fontId="31" fillId="5" borderId="47" xfId="0" applyFont="1" applyFill="1" applyBorder="1" applyAlignment="1">
      <alignment horizontal="center" vertical="center" wrapText="1"/>
    </xf>
    <xf numFmtId="0" fontId="31" fillId="5" borderId="48" xfId="0" applyFont="1" applyFill="1" applyBorder="1" applyAlignment="1">
      <alignment horizontal="center" vertical="center"/>
    </xf>
    <xf numFmtId="0" fontId="22" fillId="0" borderId="32" xfId="0" applyFont="1" applyBorder="1" applyAlignment="1">
      <alignment horizontal="center" vertical="center"/>
    </xf>
    <xf numFmtId="170" fontId="35" fillId="0" borderId="4" xfId="0" applyNumberFormat="1" applyFont="1" applyBorder="1" applyAlignment="1">
      <alignment horizontal="center" vertical="center"/>
    </xf>
    <xf numFmtId="0" fontId="22" fillId="0" borderId="4" xfId="0" applyFont="1" applyBorder="1" applyAlignment="1">
      <alignment horizontal="center" vertical="center"/>
    </xf>
    <xf numFmtId="1" fontId="22" fillId="0" borderId="4" xfId="0" applyNumberFormat="1" applyFont="1" applyBorder="1" applyAlignment="1">
      <alignment horizontal="center" vertical="center"/>
    </xf>
    <xf numFmtId="14" fontId="35" fillId="0" borderId="4" xfId="0" applyNumberFormat="1" applyFont="1" applyBorder="1" applyAlignment="1">
      <alignment horizontal="center" vertical="center"/>
    </xf>
    <xf numFmtId="2" fontId="34" fillId="0" borderId="4" xfId="0" applyNumberFormat="1" applyFont="1" applyBorder="1" applyAlignment="1">
      <alignment horizontal="center" vertical="center"/>
    </xf>
    <xf numFmtId="2" fontId="38" fillId="0" borderId="4" xfId="0" applyNumberFormat="1" applyFont="1" applyBorder="1" applyAlignment="1">
      <alignment horizontal="center" vertical="center"/>
    </xf>
    <xf numFmtId="0" fontId="21" fillId="0" borderId="4" xfId="0" applyFont="1" applyBorder="1" applyAlignment="1">
      <alignment horizontal="center"/>
    </xf>
    <xf numFmtId="0" fontId="21" fillId="0" borderId="33" xfId="0" applyFont="1" applyBorder="1" applyAlignment="1">
      <alignment horizontal="center"/>
    </xf>
    <xf numFmtId="0" fontId="21" fillId="0" borderId="32" xfId="0" applyFont="1" applyBorder="1" applyAlignment="1">
      <alignment horizontal="center"/>
    </xf>
    <xf numFmtId="0" fontId="21" fillId="0" borderId="4" xfId="0" applyFont="1" applyBorder="1" applyAlignment="1">
      <alignment horizontal="left"/>
    </xf>
    <xf numFmtId="0" fontId="21" fillId="0" borderId="32" xfId="0" applyFont="1" applyBorder="1" applyAlignment="1">
      <alignment horizontal="center" vertical="center"/>
    </xf>
    <xf numFmtId="0" fontId="39" fillId="7" borderId="4" xfId="0" applyFont="1" applyFill="1" applyBorder="1" applyAlignment="1">
      <alignment horizontal="left" vertical="center" wrapText="1"/>
    </xf>
    <xf numFmtId="0" fontId="21" fillId="0" borderId="4" xfId="0" applyFont="1" applyBorder="1" applyAlignment="1">
      <alignment horizontal="center" vertical="center"/>
    </xf>
    <xf numFmtId="1" fontId="39" fillId="0" borderId="4" xfId="0" applyNumberFormat="1" applyFont="1" applyBorder="1" applyAlignment="1">
      <alignment horizontal="center" vertical="center"/>
    </xf>
    <xf numFmtId="1" fontId="39" fillId="0" borderId="34" xfId="0" applyNumberFormat="1" applyFont="1" applyBorder="1" applyAlignment="1">
      <alignment horizontal="center" vertical="center"/>
    </xf>
    <xf numFmtId="0" fontId="39" fillId="8" borderId="4" xfId="0" applyFont="1" applyFill="1" applyBorder="1" applyAlignment="1">
      <alignment horizontal="left" vertical="center" wrapText="1"/>
    </xf>
    <xf numFmtId="2" fontId="39" fillId="0" borderId="4" xfId="0" applyNumberFormat="1" applyFont="1" applyBorder="1" applyAlignment="1">
      <alignment horizontal="center" vertical="center"/>
    </xf>
    <xf numFmtId="0" fontId="39" fillId="8" borderId="4" xfId="0" applyFont="1" applyFill="1" applyBorder="1" applyAlignment="1">
      <alignment horizontal="left" vertical="center"/>
    </xf>
    <xf numFmtId="1" fontId="21" fillId="0" borderId="4" xfId="0" applyNumberFormat="1" applyFont="1" applyBorder="1" applyAlignment="1">
      <alignment horizontal="center" vertical="center"/>
    </xf>
    <xf numFmtId="0" fontId="21" fillId="0" borderId="40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/>
    </xf>
    <xf numFmtId="0" fontId="21" fillId="0" borderId="1" xfId="0" applyFont="1" applyBorder="1" applyAlignment="1">
      <alignment horizontal="center" vertical="center"/>
    </xf>
    <xf numFmtId="0" fontId="39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 vertical="center"/>
    </xf>
    <xf numFmtId="0" fontId="21" fillId="0" borderId="15" xfId="0" applyFont="1" applyBorder="1" applyAlignment="1">
      <alignment horizontal="center"/>
    </xf>
    <xf numFmtId="0" fontId="39" fillId="0" borderId="17" xfId="0" applyFont="1" applyBorder="1" applyAlignment="1">
      <alignment horizontal="center"/>
    </xf>
    <xf numFmtId="1" fontId="40" fillId="0" borderId="17" xfId="0" applyNumberFormat="1" applyFont="1" applyBorder="1"/>
    <xf numFmtId="0" fontId="21" fillId="0" borderId="42" xfId="0" applyFont="1" applyBorder="1" applyAlignment="1">
      <alignment horizontal="center"/>
    </xf>
    <xf numFmtId="0" fontId="21" fillId="0" borderId="43" xfId="0" applyFont="1" applyBorder="1" applyAlignment="1">
      <alignment horizontal="center"/>
    </xf>
    <xf numFmtId="0" fontId="39" fillId="0" borderId="32" xfId="0" applyFont="1" applyBorder="1" applyAlignment="1">
      <alignment horizontal="center"/>
    </xf>
    <xf numFmtId="0" fontId="39" fillId="0" borderId="4" xfId="0" applyFont="1" applyBorder="1" applyAlignment="1">
      <alignment horizontal="center"/>
    </xf>
    <xf numFmtId="2" fontId="39" fillId="0" borderId="4" xfId="0" applyNumberFormat="1" applyFont="1" applyBorder="1" applyAlignment="1">
      <alignment horizontal="center"/>
    </xf>
    <xf numFmtId="0" fontId="21" fillId="0" borderId="35" xfId="0" applyFont="1" applyBorder="1" applyAlignment="1">
      <alignment horizontal="center"/>
    </xf>
    <xf numFmtId="0" fontId="39" fillId="0" borderId="36" xfId="0" applyFont="1" applyBorder="1" applyAlignment="1">
      <alignment horizontal="center"/>
    </xf>
    <xf numFmtId="0" fontId="21" fillId="0" borderId="36" xfId="0" applyFont="1" applyBorder="1" applyAlignment="1">
      <alignment horizontal="center"/>
    </xf>
    <xf numFmtId="0" fontId="21" fillId="0" borderId="0" xfId="0" applyFont="1"/>
    <xf numFmtId="2" fontId="43" fillId="0" borderId="4" xfId="0" applyNumberFormat="1" applyFont="1" applyBorder="1" applyAlignment="1">
      <alignment horizontal="center" vertical="center"/>
    </xf>
    <xf numFmtId="2" fontId="44" fillId="0" borderId="4" xfId="0" applyNumberFormat="1" applyFont="1" applyBorder="1" applyAlignment="1">
      <alignment horizontal="center" vertical="center"/>
    </xf>
    <xf numFmtId="2" fontId="45" fillId="0" borderId="4" xfId="0" applyNumberFormat="1" applyFont="1" applyBorder="1" applyAlignment="1">
      <alignment horizontal="center" vertical="center"/>
    </xf>
    <xf numFmtId="2" fontId="46" fillId="0" borderId="33" xfId="0" applyNumberFormat="1" applyFont="1" applyBorder="1" applyAlignment="1">
      <alignment horizontal="center" vertical="center"/>
    </xf>
    <xf numFmtId="2" fontId="47" fillId="0" borderId="4" xfId="0" applyNumberFormat="1" applyFont="1" applyBorder="1" applyAlignment="1">
      <alignment horizontal="center" vertical="center"/>
    </xf>
    <xf numFmtId="2" fontId="48" fillId="0" borderId="4" xfId="0" applyNumberFormat="1" applyFont="1" applyBorder="1" applyAlignment="1">
      <alignment horizontal="center" vertical="center"/>
    </xf>
    <xf numFmtId="0" fontId="38" fillId="0" borderId="33" xfId="0" applyFont="1" applyBorder="1" applyAlignment="1">
      <alignment horizontal="center" vertical="center"/>
    </xf>
    <xf numFmtId="2" fontId="38" fillId="0" borderId="33" xfId="0" applyNumberFormat="1" applyFont="1" applyBorder="1" applyAlignment="1">
      <alignment horizontal="center" vertical="center"/>
    </xf>
    <xf numFmtId="2" fontId="49" fillId="0" borderId="4" xfId="0" applyNumberFormat="1" applyFont="1" applyBorder="1" applyAlignment="1">
      <alignment horizontal="center" vertical="center"/>
    </xf>
    <xf numFmtId="2" fontId="50" fillId="0" borderId="4" xfId="0" applyNumberFormat="1" applyFont="1" applyBorder="1" applyAlignment="1">
      <alignment horizontal="center" vertical="center"/>
    </xf>
    <xf numFmtId="0" fontId="50" fillId="0" borderId="1" xfId="0" applyFont="1" applyBorder="1" applyAlignment="1">
      <alignment horizontal="center" vertical="center"/>
    </xf>
    <xf numFmtId="2" fontId="40" fillId="0" borderId="1" xfId="2" applyNumberFormat="1" applyFont="1" applyBorder="1" applyAlignment="1">
      <alignment horizontal="center" vertical="center"/>
    </xf>
    <xf numFmtId="2" fontId="50" fillId="0" borderId="1" xfId="0" applyNumberFormat="1" applyFont="1" applyBorder="1" applyAlignment="1">
      <alignment horizontal="center" vertical="center"/>
    </xf>
    <xf numFmtId="2" fontId="50" fillId="0" borderId="17" xfId="0" applyNumberFormat="1" applyFont="1" applyBorder="1" applyAlignment="1">
      <alignment horizontal="center" vertical="center"/>
    </xf>
    <xf numFmtId="0" fontId="51" fillId="0" borderId="43" xfId="0" applyFont="1" applyBorder="1" applyAlignment="1">
      <alignment horizontal="center"/>
    </xf>
    <xf numFmtId="0" fontId="51" fillId="0" borderId="4" xfId="0" applyFont="1" applyBorder="1" applyAlignment="1">
      <alignment horizontal="center"/>
    </xf>
    <xf numFmtId="2" fontId="51" fillId="0" borderId="4" xfId="0" applyNumberFormat="1" applyFont="1" applyBorder="1" applyAlignment="1">
      <alignment horizontal="center"/>
    </xf>
    <xf numFmtId="2" fontId="52" fillId="0" borderId="4" xfId="0" applyNumberFormat="1" applyFont="1" applyBorder="1" applyAlignment="1">
      <alignment horizontal="center" vertical="center"/>
    </xf>
    <xf numFmtId="0" fontId="53" fillId="0" borderId="1" xfId="0" applyFont="1" applyBorder="1" applyAlignment="1">
      <alignment horizontal="center" vertical="center"/>
    </xf>
    <xf numFmtId="2" fontId="52" fillId="0" borderId="17" xfId="0" applyNumberFormat="1" applyFont="1" applyBorder="1" applyAlignment="1">
      <alignment horizontal="center" vertical="center"/>
    </xf>
    <xf numFmtId="0" fontId="53" fillId="0" borderId="43" xfId="0" applyFont="1" applyBorder="1" applyAlignment="1">
      <alignment horizontal="center"/>
    </xf>
    <xf numFmtId="0" fontId="53" fillId="0" borderId="4" xfId="0" applyFont="1" applyBorder="1" applyAlignment="1">
      <alignment horizontal="center"/>
    </xf>
    <xf numFmtId="2" fontId="52" fillId="0" borderId="4" xfId="0" applyNumberFormat="1" applyFont="1" applyBorder="1" applyAlignment="1">
      <alignment horizontal="center"/>
    </xf>
    <xf numFmtId="2" fontId="52" fillId="0" borderId="36" xfId="0" applyNumberFormat="1" applyFont="1" applyBorder="1" applyAlignment="1">
      <alignment horizontal="center" vertical="center"/>
    </xf>
    <xf numFmtId="2" fontId="52" fillId="0" borderId="33" xfId="0" applyNumberFormat="1" applyFont="1" applyBorder="1" applyAlignment="1">
      <alignment horizontal="center" vertical="center"/>
    </xf>
    <xf numFmtId="2" fontId="52" fillId="0" borderId="41" xfId="0" applyNumberFormat="1" applyFont="1" applyBorder="1" applyAlignment="1">
      <alignment horizontal="center" vertical="center"/>
    </xf>
    <xf numFmtId="2" fontId="52" fillId="0" borderId="18" xfId="0" applyNumberFormat="1" applyFont="1" applyBorder="1" applyAlignment="1">
      <alignment horizontal="center" vertical="center"/>
    </xf>
    <xf numFmtId="0" fontId="53" fillId="0" borderId="44" xfId="0" applyFont="1" applyBorder="1" applyAlignment="1">
      <alignment horizontal="center"/>
    </xf>
    <xf numFmtId="0" fontId="53" fillId="0" borderId="33" xfId="0" applyFont="1" applyBorder="1" applyAlignment="1">
      <alignment horizontal="center"/>
    </xf>
    <xf numFmtId="2" fontId="53" fillId="0" borderId="33" xfId="0" applyNumberFormat="1" applyFont="1" applyBorder="1" applyAlignment="1">
      <alignment horizontal="center"/>
    </xf>
    <xf numFmtId="2" fontId="52" fillId="0" borderId="33" xfId="0" applyNumberFormat="1" applyFont="1" applyBorder="1" applyAlignment="1">
      <alignment horizontal="center"/>
    </xf>
    <xf numFmtId="0" fontId="53" fillId="0" borderId="37" xfId="0" applyFont="1" applyBorder="1" applyAlignment="1">
      <alignment horizontal="center"/>
    </xf>
    <xf numFmtId="0" fontId="36" fillId="0" borderId="4" xfId="0" applyFont="1" applyBorder="1" applyAlignment="1">
      <alignment horizontal="center" vertical="center"/>
    </xf>
    <xf numFmtId="0" fontId="58" fillId="0" borderId="3" xfId="0" applyFont="1" applyBorder="1" applyAlignment="1">
      <alignment vertical="center"/>
    </xf>
    <xf numFmtId="0" fontId="31" fillId="2" borderId="42" xfId="0" applyFont="1" applyFill="1" applyBorder="1" applyAlignment="1">
      <alignment horizontal="center" vertical="center" wrapText="1"/>
    </xf>
    <xf numFmtId="0" fontId="31" fillId="2" borderId="43" xfId="0" applyFont="1" applyFill="1" applyBorder="1" applyAlignment="1">
      <alignment horizontal="center" vertical="center"/>
    </xf>
    <xf numFmtId="0" fontId="31" fillId="2" borderId="43" xfId="0" applyFont="1" applyFill="1" applyBorder="1" applyAlignment="1">
      <alignment horizontal="center" vertical="center" wrapText="1"/>
    </xf>
    <xf numFmtId="0" fontId="31" fillId="2" borderId="44" xfId="0" applyFont="1" applyFill="1" applyBorder="1" applyAlignment="1">
      <alignment horizontal="center" vertical="center"/>
    </xf>
    <xf numFmtId="9" fontId="3" fillId="0" borderId="4" xfId="2" applyFont="1" applyBorder="1" applyAlignment="1">
      <alignment horizontal="center" vertical="center"/>
    </xf>
    <xf numFmtId="170" fontId="59" fillId="2" borderId="43" xfId="0" applyNumberFormat="1" applyFont="1" applyFill="1" applyBorder="1" applyAlignment="1">
      <alignment horizontal="center" vertical="center"/>
    </xf>
    <xf numFmtId="9" fontId="60" fillId="0" borderId="4" xfId="2" applyFont="1" applyBorder="1" applyAlignment="1">
      <alignment horizontal="center" vertical="center"/>
    </xf>
    <xf numFmtId="171" fontId="60" fillId="0" borderId="4" xfId="2" applyNumberFormat="1" applyFont="1" applyBorder="1" applyAlignment="1">
      <alignment horizontal="center" vertical="center"/>
    </xf>
    <xf numFmtId="2" fontId="60" fillId="0" borderId="4" xfId="0" applyNumberFormat="1" applyFont="1" applyBorder="1" applyAlignment="1">
      <alignment horizontal="center" vertical="center"/>
    </xf>
    <xf numFmtId="4" fontId="60" fillId="0" borderId="33" xfId="0" applyNumberFormat="1" applyFont="1" applyBorder="1" applyAlignment="1">
      <alignment horizontal="center" vertical="center"/>
    </xf>
    <xf numFmtId="167" fontId="60" fillId="0" borderId="4" xfId="0" applyNumberFormat="1" applyFont="1" applyBorder="1" applyAlignment="1">
      <alignment horizontal="center" vertical="center"/>
    </xf>
    <xf numFmtId="2" fontId="36" fillId="0" borderId="4" xfId="0" applyNumberFormat="1" applyFont="1" applyBorder="1" applyAlignment="1">
      <alignment horizontal="center" vertical="center"/>
    </xf>
    <xf numFmtId="0" fontId="22" fillId="0" borderId="35" xfId="0" applyFont="1" applyBorder="1" applyAlignment="1">
      <alignment horizontal="center" vertical="center"/>
    </xf>
    <xf numFmtId="2" fontId="47" fillId="0" borderId="36" xfId="0" applyNumberFormat="1" applyFont="1" applyBorder="1" applyAlignment="1">
      <alignment horizontal="center" vertical="center"/>
    </xf>
    <xf numFmtId="2" fontId="36" fillId="0" borderId="36" xfId="0" applyNumberFormat="1" applyFont="1" applyBorder="1" applyAlignment="1">
      <alignment horizontal="center" vertical="center"/>
    </xf>
    <xf numFmtId="2" fontId="34" fillId="0" borderId="36" xfId="0" applyNumberFormat="1" applyFont="1" applyBorder="1" applyAlignment="1">
      <alignment horizontal="center" vertical="center"/>
    </xf>
    <xf numFmtId="2" fontId="48" fillId="0" borderId="36" xfId="0" applyNumberFormat="1" applyFont="1" applyBorder="1" applyAlignment="1">
      <alignment horizontal="center" vertical="center"/>
    </xf>
    <xf numFmtId="2" fontId="38" fillId="0" borderId="36" xfId="0" applyNumberFormat="1" applyFont="1" applyBorder="1" applyAlignment="1">
      <alignment horizontal="center" vertical="center"/>
    </xf>
    <xf numFmtId="2" fontId="49" fillId="0" borderId="36" xfId="0" applyNumberFormat="1" applyFont="1" applyBorder="1" applyAlignment="1">
      <alignment horizontal="center" vertical="center"/>
    </xf>
    <xf numFmtId="2" fontId="38" fillId="0" borderId="37" xfId="0" applyNumberFormat="1" applyFont="1" applyBorder="1" applyAlignment="1">
      <alignment horizontal="center" vertical="center"/>
    </xf>
    <xf numFmtId="0" fontId="5" fillId="0" borderId="13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14" xfId="0" applyFont="1" applyBorder="1" applyAlignment="1">
      <alignment vertical="center"/>
    </xf>
    <xf numFmtId="0" fontId="6" fillId="0" borderId="13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6" fillId="0" borderId="14" xfId="0" applyFont="1" applyBorder="1" applyAlignment="1">
      <alignment vertical="center"/>
    </xf>
    <xf numFmtId="0" fontId="3" fillId="0" borderId="14" xfId="0" applyFont="1" applyBorder="1"/>
    <xf numFmtId="0" fontId="7" fillId="0" borderId="13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5" fillId="0" borderId="66" xfId="0" applyFont="1" applyBorder="1" applyAlignment="1">
      <alignment vertical="center"/>
    </xf>
    <xf numFmtId="2" fontId="8" fillId="0" borderId="67" xfId="0" applyNumberFormat="1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2" fontId="54" fillId="0" borderId="33" xfId="0" applyNumberFormat="1" applyFont="1" applyBorder="1" applyAlignment="1">
      <alignment horizontal="center"/>
    </xf>
    <xf numFmtId="165" fontId="9" fillId="0" borderId="67" xfId="0" applyNumberFormat="1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5" fillId="0" borderId="19" xfId="0" applyFont="1" applyBorder="1" applyAlignment="1">
      <alignment vertical="center"/>
    </xf>
    <xf numFmtId="2" fontId="55" fillId="0" borderId="67" xfId="0" applyNumberFormat="1" applyFont="1" applyBorder="1" applyAlignment="1">
      <alignment horizontal="center" vertical="center"/>
    </xf>
    <xf numFmtId="0" fontId="5" fillId="0" borderId="68" xfId="0" applyFont="1" applyBorder="1" applyAlignment="1">
      <alignment vertical="center"/>
    </xf>
    <xf numFmtId="165" fontId="56" fillId="0" borderId="67" xfId="0" applyNumberFormat="1" applyFont="1" applyBorder="1" applyAlignment="1">
      <alignment horizontal="center" vertical="center"/>
    </xf>
    <xf numFmtId="0" fontId="4" fillId="0" borderId="32" xfId="0" applyFont="1" applyBorder="1" applyAlignment="1">
      <alignment vertical="center"/>
    </xf>
    <xf numFmtId="2" fontId="57" fillId="0" borderId="67" xfId="0" applyNumberFormat="1" applyFont="1" applyBorder="1" applyAlignment="1">
      <alignment horizontal="center" vertical="center"/>
    </xf>
    <xf numFmtId="0" fontId="5" fillId="0" borderId="69" xfId="0" applyFont="1" applyBorder="1" applyAlignment="1">
      <alignment vertical="center"/>
    </xf>
    <xf numFmtId="0" fontId="5" fillId="0" borderId="70" xfId="0" applyFont="1" applyBorder="1" applyAlignment="1">
      <alignment vertical="center"/>
    </xf>
    <xf numFmtId="0" fontId="5" fillId="0" borderId="11" xfId="0" applyFont="1" applyBorder="1" applyAlignment="1">
      <alignment vertical="center"/>
    </xf>
    <xf numFmtId="0" fontId="5" fillId="0" borderId="12" xfId="0" applyFont="1" applyBorder="1" applyAlignment="1">
      <alignment vertical="center"/>
    </xf>
    <xf numFmtId="0" fontId="10" fillId="0" borderId="0" xfId="3" applyAlignment="1">
      <alignment vertical="center"/>
    </xf>
    <xf numFmtId="0" fontId="10" fillId="0" borderId="0" xfId="3" applyAlignment="1">
      <alignment horizontal="right" vertical="center"/>
    </xf>
    <xf numFmtId="0" fontId="5" fillId="0" borderId="14" xfId="0" applyFont="1" applyBorder="1" applyAlignment="1">
      <alignment horizontal="right" vertical="center"/>
    </xf>
    <xf numFmtId="0" fontId="5" fillId="0" borderId="71" xfId="0" applyFont="1" applyBorder="1" applyAlignment="1">
      <alignment vertical="center"/>
    </xf>
    <xf numFmtId="2" fontId="34" fillId="0" borderId="1" xfId="0" applyNumberFormat="1" applyFont="1" applyBorder="1" applyAlignment="1">
      <alignment horizontal="center" vertical="center"/>
    </xf>
    <xf numFmtId="2" fontId="49" fillId="0" borderId="1" xfId="0" applyNumberFormat="1" applyFont="1" applyBorder="1" applyAlignment="1">
      <alignment horizontal="center" vertical="center"/>
    </xf>
    <xf numFmtId="2" fontId="47" fillId="0" borderId="1" xfId="0" applyNumberFormat="1" applyFont="1" applyBorder="1" applyAlignment="1">
      <alignment horizontal="center" vertical="center"/>
    </xf>
    <xf numFmtId="0" fontId="22" fillId="0" borderId="40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 wrapText="1"/>
    </xf>
    <xf numFmtId="2" fontId="48" fillId="0" borderId="1" xfId="0" applyNumberFormat="1" applyFont="1" applyBorder="1" applyAlignment="1">
      <alignment horizontal="center" vertical="center"/>
    </xf>
    <xf numFmtId="2" fontId="38" fillId="0" borderId="1" xfId="0" applyNumberFormat="1" applyFont="1" applyBorder="1" applyAlignment="1">
      <alignment horizontal="center" vertical="center"/>
    </xf>
    <xf numFmtId="2" fontId="38" fillId="0" borderId="41" xfId="0" applyNumberFormat="1" applyFont="1" applyBorder="1" applyAlignment="1">
      <alignment horizontal="center" vertical="center"/>
    </xf>
    <xf numFmtId="2" fontId="36" fillId="9" borderId="1" xfId="0" applyNumberFormat="1" applyFont="1" applyFill="1" applyBorder="1" applyAlignment="1">
      <alignment horizontal="center" vertical="center"/>
    </xf>
    <xf numFmtId="14" fontId="22" fillId="0" borderId="1" xfId="0" applyNumberFormat="1" applyFont="1" applyBorder="1" applyAlignment="1">
      <alignment horizontal="center" vertical="center" wrapText="1"/>
    </xf>
    <xf numFmtId="0" fontId="36" fillId="9" borderId="43" xfId="0" applyFont="1" applyFill="1" applyBorder="1" applyAlignment="1">
      <alignment horizontal="center" vertical="center" wrapText="1"/>
    </xf>
    <xf numFmtId="2" fontId="61" fillId="0" borderId="4" xfId="2" applyNumberFormat="1" applyFont="1" applyBorder="1" applyAlignment="1">
      <alignment horizontal="center" vertical="center"/>
    </xf>
    <xf numFmtId="9" fontId="61" fillId="0" borderId="4" xfId="2" applyFont="1" applyBorder="1" applyAlignment="1">
      <alignment horizontal="center" vertical="center"/>
    </xf>
    <xf numFmtId="167" fontId="61" fillId="0" borderId="4" xfId="0" applyNumberFormat="1" applyFont="1" applyBorder="1" applyAlignment="1">
      <alignment horizontal="center" vertical="center"/>
    </xf>
    <xf numFmtId="2" fontId="61" fillId="0" borderId="4" xfId="0" applyNumberFormat="1" applyFont="1" applyBorder="1" applyAlignment="1">
      <alignment horizontal="center" vertical="center"/>
    </xf>
    <xf numFmtId="4" fontId="61" fillId="0" borderId="33" xfId="0" applyNumberFormat="1" applyFont="1" applyBorder="1" applyAlignment="1">
      <alignment horizontal="center" vertical="center"/>
    </xf>
    <xf numFmtId="2" fontId="61" fillId="0" borderId="37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vertical="center"/>
    </xf>
    <xf numFmtId="2" fontId="47" fillId="0" borderId="1" xfId="0" applyNumberFormat="1" applyFont="1" applyBorder="1" applyAlignment="1">
      <alignment horizontal="center" vertical="center"/>
    </xf>
    <xf numFmtId="2" fontId="34" fillId="0" borderId="1" xfId="0" applyNumberFormat="1" applyFont="1" applyBorder="1" applyAlignment="1">
      <alignment horizontal="center" vertical="center"/>
    </xf>
    <xf numFmtId="2" fontId="49" fillId="0" borderId="1" xfId="0" applyNumberFormat="1" applyFont="1" applyBorder="1" applyAlignment="1">
      <alignment horizontal="center" vertical="center"/>
    </xf>
    <xf numFmtId="2" fontId="47" fillId="0" borderId="1" xfId="0" applyNumberFormat="1" applyFont="1" applyBorder="1" applyAlignment="1">
      <alignment horizontal="center" vertical="center"/>
    </xf>
    <xf numFmtId="2" fontId="34" fillId="0" borderId="1" xfId="0" applyNumberFormat="1" applyFont="1" applyBorder="1" applyAlignment="1">
      <alignment horizontal="center" vertical="center"/>
    </xf>
    <xf numFmtId="2" fontId="49" fillId="0" borderId="1" xfId="0" applyNumberFormat="1" applyFont="1" applyBorder="1" applyAlignment="1">
      <alignment horizontal="center" vertical="center"/>
    </xf>
    <xf numFmtId="0" fontId="42" fillId="0" borderId="13" xfId="0" applyFont="1" applyBorder="1" applyAlignment="1"/>
    <xf numFmtId="0" fontId="5" fillId="0" borderId="72" xfId="0" applyFont="1" applyBorder="1" applyAlignment="1">
      <alignment horizontal="right" vertical="center"/>
    </xf>
    <xf numFmtId="0" fontId="5" fillId="0" borderId="73" xfId="0" applyFont="1" applyBorder="1" applyAlignment="1">
      <alignment horizontal="right" vertical="center"/>
    </xf>
    <xf numFmtId="0" fontId="6" fillId="0" borderId="13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22" fillId="0" borderId="13" xfId="0" applyFont="1" applyBorder="1" applyAlignment="1">
      <alignment horizontal="left"/>
    </xf>
    <xf numFmtId="0" fontId="22" fillId="0" borderId="0" xfId="0" applyFont="1" applyAlignment="1">
      <alignment horizontal="left"/>
    </xf>
    <xf numFmtId="0" fontId="5" fillId="0" borderId="1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3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4" fillId="0" borderId="65" xfId="0" applyFont="1" applyBorder="1" applyAlignment="1">
      <alignment horizontal="center" vertical="center"/>
    </xf>
    <xf numFmtId="0" fontId="4" fillId="0" borderId="60" xfId="0" applyFont="1" applyBorder="1" applyAlignment="1">
      <alignment horizontal="center" vertical="center"/>
    </xf>
    <xf numFmtId="0" fontId="4" fillId="0" borderId="61" xfId="0" applyFont="1" applyBorder="1" applyAlignment="1">
      <alignment horizontal="center" vertical="center"/>
    </xf>
    <xf numFmtId="0" fontId="21" fillId="0" borderId="40" xfId="0" applyFont="1" applyBorder="1" applyAlignment="1">
      <alignment horizontal="center" wrapText="1"/>
    </xf>
    <xf numFmtId="0" fontId="21" fillId="0" borderId="42" xfId="0" applyFont="1" applyBorder="1" applyAlignment="1">
      <alignment horizontal="center" wrapText="1"/>
    </xf>
    <xf numFmtId="0" fontId="42" fillId="0" borderId="13" xfId="0" applyFont="1" applyBorder="1" applyAlignment="1">
      <alignment horizontal="left"/>
    </xf>
    <xf numFmtId="0" fontId="42" fillId="0" borderId="0" xfId="0" applyFont="1" applyAlignment="1">
      <alignment horizontal="left"/>
    </xf>
    <xf numFmtId="0" fontId="42" fillId="0" borderId="14" xfId="0" applyFont="1" applyBorder="1" applyAlignment="1">
      <alignment horizontal="left"/>
    </xf>
    <xf numFmtId="0" fontId="42" fillId="0" borderId="13" xfId="0" applyFont="1" applyBorder="1" applyAlignment="1">
      <alignment horizontal="center"/>
    </xf>
    <xf numFmtId="0" fontId="42" fillId="0" borderId="0" xfId="0" applyFont="1" applyAlignment="1">
      <alignment horizontal="center"/>
    </xf>
    <xf numFmtId="0" fontId="42" fillId="0" borderId="14" xfId="0" applyFont="1" applyBorder="1" applyAlignment="1">
      <alignment horizontal="center"/>
    </xf>
    <xf numFmtId="0" fontId="41" fillId="0" borderId="11" xfId="0" applyFont="1" applyBorder="1" applyAlignment="1">
      <alignment horizontal="center"/>
    </xf>
    <xf numFmtId="0" fontId="41" fillId="0" borderId="8" xfId="0" applyFont="1" applyBorder="1" applyAlignment="1">
      <alignment horizontal="center"/>
    </xf>
    <xf numFmtId="0" fontId="41" fillId="0" borderId="12" xfId="0" applyFont="1" applyBorder="1" applyAlignment="1">
      <alignment horizontal="center"/>
    </xf>
    <xf numFmtId="0" fontId="0" fillId="0" borderId="13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42" fillId="0" borderId="0" xfId="0" applyFont="1" applyAlignment="1">
      <alignment horizontal="center" vertical="center"/>
    </xf>
    <xf numFmtId="0" fontId="42" fillId="0" borderId="14" xfId="0" applyFont="1" applyBorder="1" applyAlignment="1">
      <alignment horizontal="center" vertical="center"/>
    </xf>
    <xf numFmtId="2" fontId="20" fillId="4" borderId="4" xfId="0" applyNumberFormat="1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3" xfId="0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33" xfId="0" applyFont="1" applyBorder="1" applyAlignment="1">
      <alignment horizontal="center"/>
    </xf>
    <xf numFmtId="0" fontId="19" fillId="0" borderId="4" xfId="0" applyFont="1" applyBorder="1" applyAlignment="1">
      <alignment horizontal="center" vertical="center"/>
    </xf>
    <xf numFmtId="2" fontId="19" fillId="0" borderId="4" xfId="0" applyNumberFormat="1" applyFont="1" applyBorder="1" applyAlignment="1">
      <alignment horizontal="center"/>
    </xf>
    <xf numFmtId="0" fontId="0" fillId="0" borderId="47" xfId="0" applyBorder="1" applyAlignment="1">
      <alignment horizontal="left"/>
    </xf>
    <xf numFmtId="0" fontId="0" fillId="0" borderId="48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33" xfId="0" applyBorder="1" applyAlignment="1">
      <alignment horizontal="left"/>
    </xf>
    <xf numFmtId="0" fontId="0" fillId="0" borderId="38" xfId="0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53" xfId="0" applyBorder="1" applyAlignment="1">
      <alignment horizontal="center"/>
    </xf>
    <xf numFmtId="0" fontId="3" fillId="0" borderId="49" xfId="0" applyFont="1" applyBorder="1" applyAlignment="1">
      <alignment horizontal="left" vertical="center"/>
    </xf>
    <xf numFmtId="0" fontId="3" fillId="0" borderId="50" xfId="0" applyFont="1" applyBorder="1" applyAlignment="1">
      <alignment horizontal="left" vertical="center"/>
    </xf>
    <xf numFmtId="0" fontId="3" fillId="0" borderId="51" xfId="0" applyFont="1" applyBorder="1" applyAlignment="1">
      <alignment horizontal="left" vertical="center"/>
    </xf>
    <xf numFmtId="0" fontId="13" fillId="2" borderId="52" xfId="4" applyFont="1" applyFill="1" applyBorder="1" applyAlignment="1">
      <alignment horizontal="left" vertical="center"/>
    </xf>
    <xf numFmtId="0" fontId="13" fillId="2" borderId="39" xfId="4" applyFont="1" applyFill="1" applyBorder="1" applyAlignment="1">
      <alignment horizontal="left" vertical="center"/>
    </xf>
    <xf numFmtId="0" fontId="13" fillId="2" borderId="34" xfId="4" applyFont="1" applyFill="1" applyBorder="1" applyAlignment="1">
      <alignment horizontal="left" vertical="center"/>
    </xf>
    <xf numFmtId="0" fontId="14" fillId="0" borderId="24" xfId="0" applyFont="1" applyBorder="1" applyAlignment="1">
      <alignment horizontal="center" vertical="center" wrapText="1"/>
    </xf>
    <xf numFmtId="0" fontId="14" fillId="0" borderId="21" xfId="0" applyFont="1" applyBorder="1" applyAlignment="1">
      <alignment horizontal="center" vertical="center" wrapText="1"/>
    </xf>
    <xf numFmtId="0" fontId="14" fillId="0" borderId="29" xfId="0" applyFont="1" applyBorder="1" applyAlignment="1">
      <alignment horizontal="center" vertical="center" wrapText="1"/>
    </xf>
    <xf numFmtId="0" fontId="32" fillId="0" borderId="59" xfId="0" applyFont="1" applyBorder="1" applyAlignment="1">
      <alignment horizontal="center"/>
    </xf>
    <xf numFmtId="0" fontId="32" fillId="0" borderId="25" xfId="0" applyFont="1" applyBorder="1" applyAlignment="1">
      <alignment horizontal="center"/>
    </xf>
    <xf numFmtId="2" fontId="28" fillId="0" borderId="26" xfId="0" applyNumberFormat="1" applyFont="1" applyBorder="1" applyAlignment="1">
      <alignment horizontal="center" vertical="center"/>
    </xf>
    <xf numFmtId="2" fontId="28" fillId="0" borderId="20" xfId="0" applyNumberFormat="1" applyFont="1" applyBorder="1" applyAlignment="1">
      <alignment horizontal="center" vertical="center"/>
    </xf>
    <xf numFmtId="0" fontId="16" fillId="0" borderId="55" xfId="0" applyFont="1" applyBorder="1" applyAlignment="1">
      <alignment horizontal="center" vertical="center"/>
    </xf>
    <xf numFmtId="0" fontId="16" fillId="0" borderId="28" xfId="0" applyFont="1" applyBorder="1" applyAlignment="1">
      <alignment horizontal="center" vertical="center"/>
    </xf>
    <xf numFmtId="0" fontId="14" fillId="0" borderId="59" xfId="0" applyFont="1" applyBorder="1" applyAlignment="1">
      <alignment horizontal="center"/>
    </xf>
    <xf numFmtId="0" fontId="14" fillId="0" borderId="25" xfId="0" applyFont="1" applyBorder="1" applyAlignment="1">
      <alignment horizontal="center"/>
    </xf>
    <xf numFmtId="2" fontId="33" fillId="0" borderId="26" xfId="0" applyNumberFormat="1" applyFont="1" applyBorder="1" applyAlignment="1">
      <alignment horizontal="center" vertical="center"/>
    </xf>
    <xf numFmtId="2" fontId="33" fillId="0" borderId="20" xfId="0" applyNumberFormat="1" applyFont="1" applyBorder="1" applyAlignment="1">
      <alignment horizontal="center" vertical="center"/>
    </xf>
    <xf numFmtId="2" fontId="17" fillId="0" borderId="45" xfId="1" applyNumberFormat="1" applyFont="1" applyFill="1" applyBorder="1" applyAlignment="1">
      <alignment horizontal="center" vertical="center" wrapText="1"/>
    </xf>
    <xf numFmtId="2" fontId="17" fillId="0" borderId="60" xfId="1" applyNumberFormat="1" applyFont="1" applyFill="1" applyBorder="1" applyAlignment="1">
      <alignment horizontal="center" vertical="center" wrapText="1"/>
    </xf>
    <xf numFmtId="2" fontId="17" fillId="3" borderId="60" xfId="1" applyNumberFormat="1" applyFont="1" applyFill="1" applyBorder="1" applyAlignment="1">
      <alignment horizontal="center" vertical="center"/>
    </xf>
    <xf numFmtId="2" fontId="17" fillId="3" borderId="61" xfId="1" applyNumberFormat="1" applyFont="1" applyFill="1" applyBorder="1" applyAlignment="1">
      <alignment horizontal="center" vertical="center"/>
    </xf>
    <xf numFmtId="0" fontId="16" fillId="0" borderId="0" xfId="0" applyFont="1" applyAlignment="1">
      <alignment horizontal="center"/>
    </xf>
    <xf numFmtId="0" fontId="13" fillId="0" borderId="35" xfId="0" applyFont="1" applyBorder="1" applyAlignment="1">
      <alignment horizontal="left" vertical="center"/>
    </xf>
    <xf numFmtId="0" fontId="13" fillId="0" borderId="36" xfId="0" applyFont="1" applyBorder="1" applyAlignment="1">
      <alignment horizontal="left" vertical="center"/>
    </xf>
    <xf numFmtId="0" fontId="13" fillId="0" borderId="37" xfId="0" applyFont="1" applyBorder="1" applyAlignment="1">
      <alignment horizontal="left" vertical="center"/>
    </xf>
    <xf numFmtId="0" fontId="24" fillId="2" borderId="4" xfId="4" applyFont="1" applyFill="1" applyBorder="1" applyAlignment="1">
      <alignment horizontal="center" vertical="center"/>
    </xf>
    <xf numFmtId="0" fontId="24" fillId="2" borderId="33" xfId="4" applyFont="1" applyFill="1" applyBorder="1" applyAlignment="1">
      <alignment horizontal="center" vertical="center"/>
    </xf>
    <xf numFmtId="2" fontId="16" fillId="0" borderId="55" xfId="0" applyNumberFormat="1" applyFont="1" applyBorder="1" applyAlignment="1">
      <alignment horizontal="center" vertical="center"/>
    </xf>
    <xf numFmtId="2" fontId="16" fillId="0" borderId="28" xfId="0" applyNumberFormat="1" applyFont="1" applyBorder="1" applyAlignment="1">
      <alignment horizontal="center" vertical="center"/>
    </xf>
    <xf numFmtId="0" fontId="16" fillId="0" borderId="59" xfId="0" applyFont="1" applyBorder="1" applyAlignment="1">
      <alignment horizontal="center"/>
    </xf>
    <xf numFmtId="0" fontId="16" fillId="0" borderId="25" xfId="0" applyFont="1" applyBorder="1" applyAlignment="1">
      <alignment horizontal="center"/>
    </xf>
    <xf numFmtId="0" fontId="16" fillId="0" borderId="26" xfId="0" applyFont="1" applyBorder="1" applyAlignment="1">
      <alignment horizontal="center" vertical="center"/>
    </xf>
    <xf numFmtId="0" fontId="16" fillId="0" borderId="20" xfId="0" applyFont="1" applyBorder="1" applyAlignment="1">
      <alignment horizontal="center" vertical="center"/>
    </xf>
    <xf numFmtId="0" fontId="17" fillId="0" borderId="45" xfId="0" applyFont="1" applyBorder="1" applyAlignment="1">
      <alignment horizontal="center" vertical="center"/>
    </xf>
    <xf numFmtId="0" fontId="17" fillId="0" borderId="16" xfId="0" applyFont="1" applyBorder="1" applyAlignment="1">
      <alignment horizontal="center" vertical="center"/>
    </xf>
    <xf numFmtId="2" fontId="17" fillId="0" borderId="45" xfId="1" applyNumberFormat="1" applyFont="1" applyBorder="1" applyAlignment="1">
      <alignment horizontal="center" vertical="center"/>
    </xf>
    <xf numFmtId="2" fontId="17" fillId="0" borderId="16" xfId="1" applyNumberFormat="1" applyFont="1" applyBorder="1" applyAlignment="1">
      <alignment horizontal="center" vertical="center"/>
    </xf>
    <xf numFmtId="0" fontId="38" fillId="0" borderId="41" xfId="0" applyFont="1" applyBorder="1" applyAlignment="1">
      <alignment horizontal="center" vertical="center"/>
    </xf>
    <xf numFmtId="0" fontId="38" fillId="0" borderId="44" xfId="0" applyFont="1" applyBorder="1" applyAlignment="1">
      <alignment horizontal="center" vertical="center"/>
    </xf>
    <xf numFmtId="0" fontId="22" fillId="0" borderId="36" xfId="0" applyFont="1" applyBorder="1" applyAlignment="1">
      <alignment horizontal="center" vertical="center" wrapText="1"/>
    </xf>
    <xf numFmtId="0" fontId="22" fillId="6" borderId="4" xfId="0" applyFont="1" applyFill="1" applyBorder="1" applyAlignment="1">
      <alignment horizontal="center" vertical="center" wrapText="1"/>
    </xf>
    <xf numFmtId="2" fontId="47" fillId="0" borderId="1" xfId="0" applyNumberFormat="1" applyFont="1" applyBorder="1" applyAlignment="1">
      <alignment horizontal="center" vertical="center"/>
    </xf>
    <xf numFmtId="0" fontId="47" fillId="0" borderId="43" xfId="0" applyFont="1" applyBorder="1" applyAlignment="1">
      <alignment horizontal="center" vertical="center"/>
    </xf>
    <xf numFmtId="2" fontId="37" fillId="0" borderId="1" xfId="0" applyNumberFormat="1" applyFont="1" applyBorder="1" applyAlignment="1">
      <alignment horizontal="center" vertical="center"/>
    </xf>
    <xf numFmtId="2" fontId="37" fillId="0" borderId="43" xfId="0" applyNumberFormat="1" applyFont="1" applyBorder="1" applyAlignment="1">
      <alignment horizontal="center" vertical="center"/>
    </xf>
    <xf numFmtId="2" fontId="36" fillId="0" borderId="1" xfId="0" applyNumberFormat="1" applyFont="1" applyBorder="1" applyAlignment="1">
      <alignment horizontal="center" vertical="center"/>
    </xf>
    <xf numFmtId="0" fontId="36" fillId="0" borderId="43" xfId="0" applyFont="1" applyBorder="1" applyAlignment="1">
      <alignment horizontal="center" vertical="center"/>
    </xf>
    <xf numFmtId="0" fontId="36" fillId="0" borderId="1" xfId="0" applyFont="1" applyBorder="1" applyAlignment="1">
      <alignment horizontal="center" vertical="center"/>
    </xf>
    <xf numFmtId="2" fontId="34" fillId="0" borderId="1" xfId="0" applyNumberFormat="1" applyFont="1" applyBorder="1" applyAlignment="1">
      <alignment horizontal="center" vertical="center"/>
    </xf>
    <xf numFmtId="2" fontId="34" fillId="0" borderId="43" xfId="0" applyNumberFormat="1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22" fillId="0" borderId="43" xfId="0" applyFont="1" applyBorder="1" applyAlignment="1">
      <alignment horizontal="center" vertical="center"/>
    </xf>
    <xf numFmtId="2" fontId="49" fillId="0" borderId="1" xfId="0" applyNumberFormat="1" applyFont="1" applyBorder="1" applyAlignment="1">
      <alignment horizontal="center" vertical="center"/>
    </xf>
    <xf numFmtId="2" fontId="49" fillId="0" borderId="43" xfId="0" applyNumberFormat="1" applyFont="1" applyBorder="1" applyAlignment="1">
      <alignment horizontal="center" vertical="center"/>
    </xf>
    <xf numFmtId="0" fontId="22" fillId="0" borderId="4" xfId="0" applyFont="1" applyBorder="1" applyAlignment="1">
      <alignment horizontal="center" vertical="center" wrapText="1"/>
    </xf>
  </cellXfs>
  <cellStyles count="5">
    <cellStyle name="Comma" xfId="1" builtinId="3"/>
    <cellStyle name="Normal" xfId="0" builtinId="0"/>
    <cellStyle name="Normal 2 2" xfId="3"/>
    <cellStyle name="Normal 5" xfId="4"/>
    <cellStyle name="Percent" xfId="2" builtinId="5"/>
  </cellStyles>
  <dxfs count="0"/>
  <tableStyles count="0" defaultTableStyle="TableStyleMedium2" defaultPivotStyle="PivotStyleLight16"/>
  <colors>
    <mruColors>
      <color rgb="FF388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externalLink" Target="externalLinks/externalLink8.xml"/><Relationship Id="rId18" Type="http://schemas.openxmlformats.org/officeDocument/2006/relationships/externalLink" Target="externalLinks/externalLink13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6.xml"/><Relationship Id="rId7" Type="http://schemas.openxmlformats.org/officeDocument/2006/relationships/externalLink" Target="externalLinks/externalLink2.xml"/><Relationship Id="rId12" Type="http://schemas.openxmlformats.org/officeDocument/2006/relationships/externalLink" Target="externalLinks/externalLink7.xml"/><Relationship Id="rId17" Type="http://schemas.openxmlformats.org/officeDocument/2006/relationships/externalLink" Target="externalLinks/externalLink12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1.xml"/><Relationship Id="rId20" Type="http://schemas.openxmlformats.org/officeDocument/2006/relationships/externalLink" Target="externalLinks/externalLink15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externalLink" Target="externalLinks/externalLink6.xml"/><Relationship Id="rId24" Type="http://schemas.openxmlformats.org/officeDocument/2006/relationships/externalLink" Target="externalLinks/externalLink19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0.xml"/><Relationship Id="rId23" Type="http://schemas.openxmlformats.org/officeDocument/2006/relationships/externalLink" Target="externalLinks/externalLink18.xml"/><Relationship Id="rId28" Type="http://schemas.openxmlformats.org/officeDocument/2006/relationships/calcChain" Target="calcChain.xml"/><Relationship Id="rId10" Type="http://schemas.openxmlformats.org/officeDocument/2006/relationships/externalLink" Target="externalLinks/externalLink5.xml"/><Relationship Id="rId19" Type="http://schemas.openxmlformats.org/officeDocument/2006/relationships/externalLink" Target="externalLinks/externalLink14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4" Type="http://schemas.openxmlformats.org/officeDocument/2006/relationships/externalLink" Target="externalLinks/externalLink9.xml"/><Relationship Id="rId22" Type="http://schemas.openxmlformats.org/officeDocument/2006/relationships/externalLink" Target="externalLinks/externalLink17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Local%20Disk/Users/HP/MAIN%20DATA/RCR%20ENTERPRISES%20ALL%20FILE/WORK%20START%20COMPANY/NEO%20ITURKAA%20ENTERPRISES%20DIGHA%20SITE%20FILE/ITURKAA%20CONCEPTS/ITURKAA%20CONCEPTS%20RA%20BILL%2001%20JULY%20%2025.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Local%20Disk/Users/HP/MAIN%20DATA/RCR%20ENTERPRISES%20ALL%20FILE/WORK%20START%20COMPANY/NEO%20ITURKAA%20ENTERPRISES%20DIGHA%20SITE%20FILE/ITURKAA%20CONCEPTS/ITURKAA%20CONCEPTS%20RA%20BILL%2002%20August%2025.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NEO%20ITURKAA%20ENTERPRISES%20RA%20BILL%2003%20Septambar%2025.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NEO%20ITURKAA%20ENTERPRISES%20RA%20BILL%2004%20Septambar%2025.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NEO%20ITURKAA%20ENTERPRISES%20RA%20BILL%2005%20Septambar%2025.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NEO%20ITURKAA%20ENTERPRISES%20RA%20BILL%2006%20OCTOBER%2025.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NEO%20ITURKAA%20ENTERPRISES%20RA%20BILL%2007%20NOVEMBER%2025.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NEO%20ITURKAA%20ENTERPRISES%20RA%20BILL%2008%20NOVEMBER%2025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NEO%20ITURKAA%20ENTERPRISES%20RA%20BILL%2009%20NOVEMBER%2025.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NEO%20ITURKAA%20ENTERPRISES%20RA%20BILL%2010%20DECEMBER%2025.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NEO%20ITURKAA%20ENTERPRISES%20RA%20BILL%2011%20DECEMBER%2025.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NEO%20ITURKAA%20ENTERPRISES%20RA%20BILL%2012%20DECEMBER%2025.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NEO%20ITURKAA%20ENTERPRISES%20RA%20BILL%2013%20DECEMBER%2025.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NEO%20ITURKAA%20ENTERPRISES%20RA%20BILL%2014%20JAN%2025.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NEO%20ITURKAA%20ENTERPRISES%20RA%20BILL%2015%20FEB%2026.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NEO%20ITURKAA%20ENTERPRISES%20RA%20BILL%2016%20FEB%2026.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NEO%20ITURKAA%20ENTERPRISES%20RA%20BILL%2017%20FEB%2026.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NEO%20ITURKAA%20ENTERPRISES%20RA%20BILL%2018%20FEB%2026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NEO%20ITURKAA%20ENTERPRISES%20RA%20BILL%2019%20APRIL%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Tower C Wing"/>
      <sheetName val="supply"/>
      <sheetName val="Balance sheet"/>
    </sheetNames>
    <sheetDataSet>
      <sheetData sheetId="0"/>
      <sheetData sheetId="1"/>
      <sheetData sheetId="2"/>
      <sheetData sheetId="3"/>
      <sheetData sheetId="4">
        <row r="7">
          <cell r="D7">
            <v>650000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Tower C Wing"/>
      <sheetName val="supply"/>
      <sheetName val="Balance sheet"/>
    </sheetNames>
    <sheetDataSet>
      <sheetData sheetId="0">
        <row r="28">
          <cell r="C28">
            <v>340000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Tower C Wing"/>
      <sheetName val="supply"/>
      <sheetName val="Balance sheet"/>
    </sheetNames>
    <sheetDataSet>
      <sheetData sheetId="0">
        <row r="27">
          <cell r="C27">
            <v>340000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Tower C Wing"/>
      <sheetName val="supply"/>
      <sheetName val="Balance sheet"/>
    </sheetNames>
    <sheetDataSet>
      <sheetData sheetId="0">
        <row r="27">
          <cell r="C27">
            <v>340000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Tower C Wing"/>
      <sheetName val="supply"/>
      <sheetName val="Balance sheet"/>
    </sheetNames>
    <sheetDataSet>
      <sheetData sheetId="0">
        <row r="27">
          <cell r="C27">
            <v>340000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Tower C Wing"/>
      <sheetName val="supply"/>
      <sheetName val="Balance sheet"/>
    </sheetNames>
    <sheetDataSet>
      <sheetData sheetId="0">
        <row r="27">
          <cell r="C27">
            <v>340000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Tower C Wing"/>
      <sheetName val="supply"/>
      <sheetName val="Balance sheet"/>
    </sheetNames>
    <sheetDataSet>
      <sheetData sheetId="0">
        <row r="28">
          <cell r="C28">
            <v>340000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Tower C Wing"/>
      <sheetName val="supply"/>
      <sheetName val="Balance sheet"/>
    </sheetNames>
    <sheetDataSet>
      <sheetData sheetId="0">
        <row r="28">
          <cell r="C28">
            <v>340000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Tower C Wing"/>
      <sheetName val="supply"/>
      <sheetName val="Balance sheet"/>
    </sheetNames>
    <sheetDataSet>
      <sheetData sheetId="0">
        <row r="28">
          <cell r="C28">
            <v>340000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Tower C Wing"/>
      <sheetName val="supply"/>
      <sheetName val="Balance sheet"/>
    </sheetNames>
    <sheetDataSet>
      <sheetData sheetId="0">
        <row r="28">
          <cell r="C28">
            <v>340000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Tower C Wing"/>
      <sheetName val="supply"/>
      <sheetName val="Balance sheet"/>
    </sheetNames>
    <sheetDataSet>
      <sheetData sheetId="0">
        <row r="28">
          <cell r="C28">
            <v>340000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Tower C Wing"/>
      <sheetName val="supply"/>
      <sheetName val="Balance sheet"/>
    </sheetNames>
    <sheetDataSet>
      <sheetData sheetId="0">
        <row r="28">
          <cell r="C28">
            <v>340000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Tower C Wing"/>
      <sheetName val="supply"/>
      <sheetName val="Balance sheet"/>
    </sheetNames>
    <sheetDataSet>
      <sheetData sheetId="0">
        <row r="28">
          <cell r="C28">
            <v>340000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Tower C Wing"/>
      <sheetName val="supply"/>
      <sheetName val="Balance sheet"/>
    </sheetNames>
    <sheetDataSet>
      <sheetData sheetId="0">
        <row r="28">
          <cell r="C28">
            <v>680000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Tower C Wing"/>
      <sheetName val="supply"/>
      <sheetName val="Balance sheet"/>
    </sheetNames>
    <sheetDataSet>
      <sheetData sheetId="0">
        <row r="28">
          <cell r="C28">
            <v>340000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Tower C Wing"/>
      <sheetName val="supply"/>
      <sheetName val="Balance sheet"/>
    </sheetNames>
    <sheetDataSet>
      <sheetData sheetId="0">
        <row r="28">
          <cell r="C28">
            <v>340000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Tower C Wing"/>
      <sheetName val="supply"/>
      <sheetName val="Balance sheet"/>
    </sheetNames>
    <sheetDataSet>
      <sheetData sheetId="0">
        <row r="28">
          <cell r="C28">
            <v>340000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Tower C Wing"/>
      <sheetName val="supply"/>
      <sheetName val="Balance sheet"/>
    </sheetNames>
    <sheetDataSet>
      <sheetData sheetId="0">
        <row r="28">
          <cell r="C28">
            <v>340000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Tower C Wing"/>
      <sheetName val="supply"/>
      <sheetName val="Balance sheet"/>
    </sheetNames>
    <sheetDataSet>
      <sheetData sheetId="0">
        <row r="28">
          <cell r="C28">
            <v>340000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0:C46"/>
  <sheetViews>
    <sheetView tabSelected="1" topLeftCell="A10" workbookViewId="0">
      <selection activeCell="G35" sqref="G35"/>
    </sheetView>
  </sheetViews>
  <sheetFormatPr defaultRowHeight="15" x14ac:dyDescent="0.25"/>
  <cols>
    <col min="1" max="1" width="16.7109375" customWidth="1"/>
    <col min="2" max="2" width="42.7109375" customWidth="1"/>
    <col min="3" max="3" width="22.140625" customWidth="1"/>
  </cols>
  <sheetData>
    <row r="10" spans="1:3" ht="15.75" thickBot="1" x14ac:dyDescent="0.3"/>
    <row r="11" spans="1:3" ht="15.75" thickBot="1" x14ac:dyDescent="0.3">
      <c r="A11" s="242" t="s">
        <v>48</v>
      </c>
      <c r="B11" s="243"/>
      <c r="C11" s="244"/>
    </row>
    <row r="12" spans="1:3" x14ac:dyDescent="0.25">
      <c r="A12" s="176"/>
      <c r="B12" s="177"/>
      <c r="C12" s="178"/>
    </row>
    <row r="13" spans="1:3" x14ac:dyDescent="0.25">
      <c r="A13" s="179" t="s">
        <v>0</v>
      </c>
      <c r="B13" s="180"/>
      <c r="C13" s="181" t="s">
        <v>142</v>
      </c>
    </row>
    <row r="14" spans="1:3" x14ac:dyDescent="0.25">
      <c r="A14" s="234" t="s">
        <v>102</v>
      </c>
      <c r="B14" s="235"/>
      <c r="C14" s="181" t="s">
        <v>141</v>
      </c>
    </row>
    <row r="15" spans="1:3" x14ac:dyDescent="0.25">
      <c r="A15" s="234" t="s">
        <v>103</v>
      </c>
      <c r="B15" s="235"/>
      <c r="C15" s="178"/>
    </row>
    <row r="16" spans="1:3" x14ac:dyDescent="0.25">
      <c r="A16" s="234" t="s">
        <v>104</v>
      </c>
      <c r="B16" s="235"/>
      <c r="C16" s="178"/>
    </row>
    <row r="17" spans="1:3" x14ac:dyDescent="0.25">
      <c r="A17" s="234" t="s">
        <v>106</v>
      </c>
      <c r="B17" s="235"/>
      <c r="C17" s="178"/>
    </row>
    <row r="18" spans="1:3" x14ac:dyDescent="0.25">
      <c r="A18" s="234" t="s">
        <v>105</v>
      </c>
      <c r="B18" s="235"/>
      <c r="C18" s="178"/>
    </row>
    <row r="19" spans="1:3" x14ac:dyDescent="0.25">
      <c r="A19" s="176"/>
      <c r="B19" s="177"/>
      <c r="C19" s="178"/>
    </row>
    <row r="20" spans="1:3" x14ac:dyDescent="0.25">
      <c r="A20" s="176"/>
      <c r="B20" s="177"/>
      <c r="C20" s="178"/>
    </row>
    <row r="21" spans="1:3" x14ac:dyDescent="0.25">
      <c r="A21" s="234" t="s">
        <v>72</v>
      </c>
      <c r="B21" s="235"/>
      <c r="C21" s="178"/>
    </row>
    <row r="22" spans="1:3" x14ac:dyDescent="0.25">
      <c r="A22" s="236" t="s">
        <v>107</v>
      </c>
      <c r="B22" s="237"/>
      <c r="C22" s="182"/>
    </row>
    <row r="23" spans="1:3" x14ac:dyDescent="0.25">
      <c r="A23" s="234" t="s">
        <v>143</v>
      </c>
      <c r="B23" s="235"/>
      <c r="C23" s="178"/>
    </row>
    <row r="24" spans="1:3" ht="11.25" customHeight="1" x14ac:dyDescent="0.25">
      <c r="A24" s="183"/>
      <c r="B24" s="184"/>
      <c r="C24" s="178"/>
    </row>
    <row r="25" spans="1:3" ht="9" customHeight="1" x14ac:dyDescent="0.25">
      <c r="A25" s="176"/>
      <c r="B25" s="177"/>
      <c r="C25" s="178"/>
    </row>
    <row r="26" spans="1:3" x14ac:dyDescent="0.25">
      <c r="A26" s="185" t="s">
        <v>1</v>
      </c>
      <c r="B26" s="1" t="s">
        <v>2</v>
      </c>
      <c r="C26" s="186" t="s">
        <v>3</v>
      </c>
    </row>
    <row r="27" spans="1:3" x14ac:dyDescent="0.25">
      <c r="A27" s="187"/>
      <c r="B27" s="2"/>
      <c r="C27" s="188"/>
    </row>
    <row r="28" spans="1:3" ht="18.75" x14ac:dyDescent="0.3">
      <c r="A28" s="189">
        <v>1</v>
      </c>
      <c r="B28" s="224" t="s">
        <v>144</v>
      </c>
      <c r="C28" s="190">
        <f>Sheet2!J26</f>
        <v>340000</v>
      </c>
    </row>
    <row r="29" spans="1:3" x14ac:dyDescent="0.25">
      <c r="A29" s="189"/>
      <c r="B29" s="155"/>
      <c r="C29" s="191"/>
    </row>
    <row r="30" spans="1:3" x14ac:dyDescent="0.25">
      <c r="A30" s="189"/>
      <c r="B30" s="4"/>
      <c r="C30" s="191"/>
    </row>
    <row r="31" spans="1:3" x14ac:dyDescent="0.25">
      <c r="A31" s="189"/>
      <c r="B31" s="4"/>
      <c r="C31" s="191"/>
    </row>
    <row r="32" spans="1:3" x14ac:dyDescent="0.25">
      <c r="A32" s="189"/>
      <c r="B32" s="4"/>
      <c r="C32" s="191"/>
    </row>
    <row r="33" spans="1:3" x14ac:dyDescent="0.25">
      <c r="A33" s="189"/>
      <c r="B33" s="4"/>
      <c r="C33" s="191"/>
    </row>
    <row r="34" spans="1:3" x14ac:dyDescent="0.25">
      <c r="A34" s="192">
        <v>2</v>
      </c>
      <c r="B34" s="3" t="s">
        <v>4</v>
      </c>
      <c r="C34" s="191"/>
    </row>
    <row r="35" spans="1:3" x14ac:dyDescent="0.25">
      <c r="A35" s="193"/>
      <c r="B35" s="4" t="s">
        <v>5</v>
      </c>
      <c r="C35" s="194">
        <f>C28*9%</f>
        <v>30600</v>
      </c>
    </row>
    <row r="36" spans="1:3" x14ac:dyDescent="0.25">
      <c r="A36" s="193"/>
      <c r="B36" s="4" t="s">
        <v>6</v>
      </c>
      <c r="C36" s="194">
        <f>C28*9%</f>
        <v>30600</v>
      </c>
    </row>
    <row r="37" spans="1:3" x14ac:dyDescent="0.25">
      <c r="A37" s="195"/>
      <c r="B37" s="5"/>
      <c r="C37" s="196"/>
    </row>
    <row r="38" spans="1:3" ht="15.75" x14ac:dyDescent="0.25">
      <c r="A38" s="197"/>
      <c r="B38" s="6" t="s">
        <v>7</v>
      </c>
      <c r="C38" s="198">
        <f>SUM(C28:C37)</f>
        <v>401200</v>
      </c>
    </row>
    <row r="39" spans="1:3" ht="15.75" thickBot="1" x14ac:dyDescent="0.3">
      <c r="A39" s="199"/>
      <c r="B39" s="7"/>
      <c r="C39" s="200"/>
    </row>
    <row r="40" spans="1:3" x14ac:dyDescent="0.25">
      <c r="A40" s="201"/>
      <c r="B40" s="8"/>
      <c r="C40" s="202"/>
    </row>
    <row r="41" spans="1:3" x14ac:dyDescent="0.25">
      <c r="A41" s="176"/>
      <c r="B41" s="203"/>
      <c r="C41" s="178"/>
    </row>
    <row r="42" spans="1:3" x14ac:dyDescent="0.25">
      <c r="A42" s="238" t="s">
        <v>84</v>
      </c>
      <c r="B42" s="239"/>
      <c r="C42" s="178" t="s">
        <v>8</v>
      </c>
    </row>
    <row r="43" spans="1:3" x14ac:dyDescent="0.25">
      <c r="A43" s="240" t="s">
        <v>9</v>
      </c>
      <c r="B43" s="241"/>
      <c r="C43" s="178"/>
    </row>
    <row r="44" spans="1:3" x14ac:dyDescent="0.25">
      <c r="A44" s="240" t="s">
        <v>10</v>
      </c>
      <c r="B44" s="241"/>
      <c r="C44" s="178"/>
    </row>
    <row r="45" spans="1:3" x14ac:dyDescent="0.25">
      <c r="A45" s="176"/>
      <c r="B45" s="204"/>
      <c r="C45" s="205" t="s">
        <v>83</v>
      </c>
    </row>
    <row r="46" spans="1:3" ht="15.75" thickBot="1" x14ac:dyDescent="0.3">
      <c r="A46" s="206"/>
      <c r="B46" s="232"/>
      <c r="C46" s="233"/>
    </row>
  </sheetData>
  <mergeCells count="13">
    <mergeCell ref="A18:B18"/>
    <mergeCell ref="A11:C11"/>
    <mergeCell ref="A14:B14"/>
    <mergeCell ref="A15:B15"/>
    <mergeCell ref="A16:B16"/>
    <mergeCell ref="A17:B17"/>
    <mergeCell ref="B46:C46"/>
    <mergeCell ref="A21:B21"/>
    <mergeCell ref="A22:B22"/>
    <mergeCell ref="A23:B23"/>
    <mergeCell ref="A42:B42"/>
    <mergeCell ref="A43:B43"/>
    <mergeCell ref="A44:B44"/>
  </mergeCells>
  <pageMargins left="1.02362204724409" right="0.70866141732283505" top="0.74803149606299202" bottom="0.74803149606299202" header="0.31496062992126" footer="0.31496062992126"/>
  <pageSetup paperSize="9" orientation="portrait" horizontalDpi="4294967293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6:P36"/>
  <sheetViews>
    <sheetView topLeftCell="A4" workbookViewId="0">
      <selection activeCell="L17" sqref="L17"/>
    </sheetView>
  </sheetViews>
  <sheetFormatPr defaultRowHeight="15" x14ac:dyDescent="0.25"/>
  <cols>
    <col min="1" max="1" width="3.140625" customWidth="1"/>
    <col min="2" max="2" width="20" customWidth="1"/>
    <col min="3" max="3" width="5.5703125" bestFit="1" customWidth="1"/>
    <col min="4" max="4" width="7" bestFit="1" customWidth="1"/>
    <col min="5" max="5" width="4.7109375" customWidth="1"/>
    <col min="6" max="6" width="9.140625" bestFit="1" customWidth="1"/>
    <col min="7" max="7" width="8.28515625" bestFit="1" customWidth="1"/>
    <col min="8" max="8" width="9.7109375" bestFit="1" customWidth="1"/>
    <col min="9" max="9" width="9.140625" bestFit="1" customWidth="1"/>
    <col min="10" max="10" width="8.85546875" customWidth="1"/>
    <col min="11" max="11" width="12.42578125" customWidth="1"/>
    <col min="13" max="13" width="11.5703125" bestFit="1" customWidth="1"/>
    <col min="14" max="14" width="10.5703125" bestFit="1" customWidth="1"/>
  </cols>
  <sheetData>
    <row r="6" spans="1:11" ht="15.75" thickBot="1" x14ac:dyDescent="0.3"/>
    <row r="7" spans="1:11" ht="15.75" x14ac:dyDescent="0.25">
      <c r="A7" s="253" t="s">
        <v>11</v>
      </c>
      <c r="B7" s="254"/>
      <c r="C7" s="254"/>
      <c r="D7" s="254"/>
      <c r="E7" s="254"/>
      <c r="F7" s="254"/>
      <c r="G7" s="254"/>
      <c r="H7" s="254"/>
      <c r="I7" s="254"/>
      <c r="J7" s="254"/>
      <c r="K7" s="255"/>
    </row>
    <row r="8" spans="1:11" ht="15.75" x14ac:dyDescent="0.25">
      <c r="A8" s="231" t="s">
        <v>12</v>
      </c>
      <c r="B8" s="251"/>
      <c r="C8" s="251"/>
      <c r="D8" s="251"/>
      <c r="E8" s="251"/>
      <c r="F8" s="251"/>
      <c r="G8" s="251"/>
      <c r="H8" s="251"/>
      <c r="I8" s="259" t="str">
        <f>Sheet1!C13</f>
        <v>Date : 05-05-2026</v>
      </c>
      <c r="J8" s="259"/>
      <c r="K8" s="260"/>
    </row>
    <row r="9" spans="1:11" ht="15.75" x14ac:dyDescent="0.25">
      <c r="A9" s="231" t="str">
        <f>Sheet1!A14</f>
        <v>NEO ITURKAA ENTERPRISES.</v>
      </c>
      <c r="B9" s="251"/>
      <c r="C9" s="251"/>
      <c r="D9" s="251"/>
      <c r="E9" s="251"/>
      <c r="F9" s="251"/>
      <c r="G9" s="251"/>
      <c r="H9" s="251"/>
      <c r="I9" s="259" t="str">
        <f>Sheet1!C14</f>
        <v>Invoice No. 004/2026-27</v>
      </c>
      <c r="J9" s="259"/>
      <c r="K9" s="260"/>
    </row>
    <row r="10" spans="1:11" ht="15.75" x14ac:dyDescent="0.25">
      <c r="A10" s="247" t="str">
        <f>Sheet1!A15</f>
        <v xml:space="preserve">ADD :- Office:- 101 1st Floor, Arihant Royale, Vaishali Nagar, </v>
      </c>
      <c r="B10" s="248"/>
      <c r="C10" s="248"/>
      <c r="D10" s="248"/>
      <c r="E10" s="248"/>
      <c r="F10" s="248"/>
      <c r="G10" s="248"/>
      <c r="H10" s="248"/>
      <c r="I10" s="248"/>
      <c r="J10" s="248"/>
      <c r="K10" s="249"/>
    </row>
    <row r="11" spans="1:11" ht="15.75" x14ac:dyDescent="0.25">
      <c r="A11" s="247" t="str">
        <f>Sheet1!A16</f>
        <v>Balrajeshwar Marg, Mulund (west) Mumbai :- 400080</v>
      </c>
      <c r="B11" s="248"/>
      <c r="C11" s="248"/>
      <c r="D11" s="248"/>
      <c r="E11" s="248"/>
      <c r="F11" s="248"/>
      <c r="G11" s="248"/>
      <c r="H11" s="248"/>
      <c r="I11" s="248"/>
      <c r="J11" s="248"/>
      <c r="K11" s="249"/>
    </row>
    <row r="12" spans="1:11" ht="15.75" x14ac:dyDescent="0.25">
      <c r="A12" s="250"/>
      <c r="B12" s="251"/>
      <c r="C12" s="251"/>
      <c r="D12" s="251"/>
      <c r="E12" s="251"/>
      <c r="F12" s="251"/>
      <c r="G12" s="251"/>
      <c r="H12" s="251"/>
      <c r="I12" s="251"/>
      <c r="J12" s="251"/>
      <c r="K12" s="252"/>
    </row>
    <row r="13" spans="1:11" ht="15.75" x14ac:dyDescent="0.25">
      <c r="A13" s="247" t="str">
        <f>Sheet1!A22</f>
        <v>Name Of Project :- Tower D Wing Galaxy Maplewood -Airoli.</v>
      </c>
      <c r="B13" s="248"/>
      <c r="C13" s="248"/>
      <c r="D13" s="248"/>
      <c r="E13" s="248"/>
      <c r="F13" s="248"/>
      <c r="G13" s="248"/>
      <c r="H13" s="248"/>
      <c r="I13" s="248"/>
      <c r="J13" s="248"/>
      <c r="K13" s="249"/>
    </row>
    <row r="14" spans="1:11" ht="15.75" x14ac:dyDescent="0.25">
      <c r="A14" s="247" t="str">
        <f>Sheet1!A21</f>
        <v>Name of Work:-Reainforcemant Work.</v>
      </c>
      <c r="B14" s="248"/>
      <c r="C14" s="248"/>
      <c r="D14" s="248"/>
      <c r="E14" s="248"/>
      <c r="F14" s="248"/>
      <c r="G14" s="248"/>
      <c r="H14" s="248"/>
      <c r="I14" s="248"/>
      <c r="J14" s="248"/>
      <c r="K14" s="249"/>
    </row>
    <row r="15" spans="1:11" ht="15.75" x14ac:dyDescent="0.25">
      <c r="A15" s="250"/>
      <c r="B15" s="251"/>
      <c r="C15" s="251"/>
      <c r="D15" s="251"/>
      <c r="E15" s="251"/>
      <c r="F15" s="251"/>
      <c r="G15" s="251"/>
      <c r="H15" s="251"/>
      <c r="I15" s="251"/>
      <c r="J15" s="251"/>
      <c r="K15" s="252"/>
    </row>
    <row r="16" spans="1:11" ht="15.75" x14ac:dyDescent="0.25">
      <c r="A16" s="247" t="str">
        <f>Sheet1!A23</f>
        <v>Subject :- REF NO. : 20</v>
      </c>
      <c r="B16" s="248"/>
      <c r="C16" s="248"/>
      <c r="D16" s="248"/>
      <c r="E16" s="248"/>
      <c r="F16" s="248"/>
      <c r="G16" s="248"/>
      <c r="H16" s="248"/>
      <c r="I16" s="248"/>
      <c r="J16" s="248"/>
      <c r="K16" s="249"/>
    </row>
    <row r="17" spans="1:16" x14ac:dyDescent="0.25">
      <c r="A17" s="256" t="s">
        <v>108</v>
      </c>
      <c r="B17" s="257"/>
      <c r="C17" s="257"/>
      <c r="D17" s="257"/>
      <c r="E17" s="257"/>
      <c r="F17" s="257"/>
      <c r="G17" s="257"/>
      <c r="H17" s="257"/>
      <c r="I17" s="257"/>
      <c r="J17" s="257"/>
      <c r="K17" s="258"/>
    </row>
    <row r="18" spans="1:16" x14ac:dyDescent="0.25">
      <c r="A18" s="9"/>
      <c r="B18" s="10"/>
      <c r="C18" s="10"/>
      <c r="D18" s="10"/>
      <c r="E18" s="10"/>
      <c r="F18" s="10"/>
      <c r="G18" s="10"/>
      <c r="H18" s="10"/>
      <c r="I18" s="10"/>
      <c r="J18" s="10"/>
      <c r="K18" s="11"/>
    </row>
    <row r="19" spans="1:16" ht="15" customHeight="1" x14ac:dyDescent="0.25">
      <c r="A19" s="245" t="s">
        <v>49</v>
      </c>
      <c r="B19" s="92" t="s">
        <v>2</v>
      </c>
      <c r="C19" s="92" t="s">
        <v>13</v>
      </c>
      <c r="D19" s="92" t="s">
        <v>14</v>
      </c>
      <c r="E19" s="92" t="s">
        <v>15</v>
      </c>
      <c r="F19" s="92" t="s">
        <v>16</v>
      </c>
      <c r="G19" s="92" t="s">
        <v>17</v>
      </c>
      <c r="H19" s="92" t="s">
        <v>18</v>
      </c>
      <c r="I19" s="92" t="s">
        <v>16</v>
      </c>
      <c r="J19" s="92" t="s">
        <v>17</v>
      </c>
      <c r="K19" s="93" t="s">
        <v>16</v>
      </c>
    </row>
    <row r="20" spans="1:16" x14ac:dyDescent="0.25">
      <c r="A20" s="246"/>
      <c r="B20" s="92"/>
      <c r="C20" s="92"/>
      <c r="D20" s="92" t="s">
        <v>20</v>
      </c>
      <c r="E20" s="92"/>
      <c r="F20" s="92" t="s">
        <v>21</v>
      </c>
      <c r="G20" s="92" t="s">
        <v>21</v>
      </c>
      <c r="H20" s="92" t="s">
        <v>21</v>
      </c>
      <c r="I20" s="92" t="s">
        <v>3</v>
      </c>
      <c r="J20" s="92" t="s">
        <v>3</v>
      </c>
      <c r="K20" s="93" t="s">
        <v>3</v>
      </c>
    </row>
    <row r="21" spans="1:16" x14ac:dyDescent="0.25">
      <c r="A21" s="94"/>
      <c r="B21" s="95"/>
      <c r="C21" s="92"/>
      <c r="D21" s="92"/>
      <c r="E21" s="92"/>
      <c r="F21" s="92"/>
      <c r="G21" s="92"/>
      <c r="H21" s="92"/>
      <c r="I21" s="92"/>
      <c r="J21" s="92"/>
      <c r="K21" s="93"/>
    </row>
    <row r="22" spans="1:16" ht="24" customHeight="1" x14ac:dyDescent="0.25">
      <c r="A22" s="96">
        <v>1</v>
      </c>
      <c r="B22" s="97" t="s">
        <v>78</v>
      </c>
      <c r="C22" s="98" t="s">
        <v>22</v>
      </c>
      <c r="D22" s="99">
        <f>'Tower C Wing'!D8:E8</f>
        <v>184464</v>
      </c>
      <c r="E22" s="100">
        <f>'Tower C Wing'!G8</f>
        <v>49.603174603174601</v>
      </c>
      <c r="F22" s="131">
        <f>'Tower C Wing'!G41</f>
        <v>7110000</v>
      </c>
      <c r="G22" s="139">
        <f>'Tower C Wing'!H41</f>
        <v>340000</v>
      </c>
      <c r="H22" s="139">
        <f>F22+G22</f>
        <v>7450000</v>
      </c>
      <c r="I22" s="131">
        <f>'Tower C Wing'!G41</f>
        <v>7110000</v>
      </c>
      <c r="J22" s="139">
        <f>G22</f>
        <v>340000</v>
      </c>
      <c r="K22" s="146">
        <f>I22+J22</f>
        <v>7450000</v>
      </c>
      <c r="N22" s="37"/>
    </row>
    <row r="23" spans="1:16" x14ac:dyDescent="0.25">
      <c r="A23" s="96">
        <v>2</v>
      </c>
      <c r="B23" s="101" t="s">
        <v>80</v>
      </c>
      <c r="C23" s="98" t="s">
        <v>23</v>
      </c>
      <c r="D23" s="102"/>
      <c r="E23" s="100">
        <f>supply!E20</f>
        <v>1100</v>
      </c>
      <c r="F23" s="131">
        <v>0</v>
      </c>
      <c r="G23" s="139">
        <v>0</v>
      </c>
      <c r="H23" s="139">
        <f t="shared" ref="H23:H24" si="0">F23+G23</f>
        <v>0</v>
      </c>
      <c r="I23" s="131">
        <f t="shared" ref="I23:I24" si="1">F23*E23</f>
        <v>0</v>
      </c>
      <c r="J23" s="139">
        <f t="shared" ref="J23:J24" si="2">G23*E23</f>
        <v>0</v>
      </c>
      <c r="K23" s="146">
        <f t="shared" ref="K23:K24" si="3">I23+J23</f>
        <v>0</v>
      </c>
    </row>
    <row r="24" spans="1:16" x14ac:dyDescent="0.25">
      <c r="A24" s="96">
        <v>3</v>
      </c>
      <c r="B24" s="103" t="s">
        <v>79</v>
      </c>
      <c r="C24" s="98" t="s">
        <v>23</v>
      </c>
      <c r="D24" s="104"/>
      <c r="E24" s="99">
        <f>supply!G20</f>
        <v>800</v>
      </c>
      <c r="F24" s="131">
        <v>0</v>
      </c>
      <c r="G24" s="139">
        <v>0</v>
      </c>
      <c r="H24" s="139">
        <f t="shared" si="0"/>
        <v>0</v>
      </c>
      <c r="I24" s="131">
        <f t="shared" si="1"/>
        <v>0</v>
      </c>
      <c r="J24" s="139">
        <f t="shared" si="2"/>
        <v>0</v>
      </c>
      <c r="K24" s="146">
        <f t="shared" si="3"/>
        <v>0</v>
      </c>
      <c r="P24" s="35"/>
    </row>
    <row r="25" spans="1:16" ht="15.75" thickBot="1" x14ac:dyDescent="0.3">
      <c r="A25" s="105"/>
      <c r="B25" s="106"/>
      <c r="C25" s="107"/>
      <c r="D25" s="107"/>
      <c r="E25" s="108"/>
      <c r="F25" s="132"/>
      <c r="G25" s="109"/>
      <c r="H25" s="133"/>
      <c r="I25" s="134"/>
      <c r="J25" s="140"/>
      <c r="K25" s="147"/>
    </row>
    <row r="26" spans="1:16" ht="15.75" thickBot="1" x14ac:dyDescent="0.3">
      <c r="A26" s="110"/>
      <c r="B26" s="111" t="s">
        <v>24</v>
      </c>
      <c r="C26" s="111"/>
      <c r="D26" s="111"/>
      <c r="E26" s="112"/>
      <c r="F26" s="111"/>
      <c r="G26" s="111"/>
      <c r="H26" s="111"/>
      <c r="I26" s="135">
        <f>SUM(I22:I25)</f>
        <v>7110000</v>
      </c>
      <c r="J26" s="141">
        <f>SUM(J22:J25)</f>
        <v>340000</v>
      </c>
      <c r="K26" s="148">
        <f>SUM(K22:K25)</f>
        <v>7450000</v>
      </c>
      <c r="M26" s="36"/>
    </row>
    <row r="27" spans="1:16" x14ac:dyDescent="0.25">
      <c r="A27" s="113"/>
      <c r="B27" s="114"/>
      <c r="C27" s="114"/>
      <c r="D27" s="114"/>
      <c r="E27" s="114"/>
      <c r="F27" s="114"/>
      <c r="G27" s="114"/>
      <c r="H27" s="114"/>
      <c r="I27" s="136"/>
      <c r="J27" s="142"/>
      <c r="K27" s="149"/>
    </row>
    <row r="28" spans="1:16" x14ac:dyDescent="0.25">
      <c r="A28" s="94"/>
      <c r="B28" s="92" t="s">
        <v>25</v>
      </c>
      <c r="C28" s="92"/>
      <c r="D28" s="92"/>
      <c r="E28" s="92"/>
      <c r="F28" s="92"/>
      <c r="G28" s="92"/>
      <c r="H28" s="92"/>
      <c r="I28" s="137"/>
      <c r="J28" s="143"/>
      <c r="K28" s="150"/>
    </row>
    <row r="29" spans="1:16" x14ac:dyDescent="0.25">
      <c r="A29" s="94"/>
      <c r="B29" s="92" t="s">
        <v>25</v>
      </c>
      <c r="C29" s="92"/>
      <c r="D29" s="92"/>
      <c r="E29" s="92"/>
      <c r="F29" s="92"/>
      <c r="G29" s="92"/>
      <c r="H29" s="92"/>
      <c r="I29" s="137"/>
      <c r="J29" s="143"/>
      <c r="K29" s="150"/>
    </row>
    <row r="30" spans="1:16" x14ac:dyDescent="0.25">
      <c r="A30" s="94"/>
      <c r="B30" s="92" t="s">
        <v>111</v>
      </c>
      <c r="C30" s="92"/>
      <c r="D30" s="92"/>
      <c r="E30" s="92"/>
      <c r="F30" s="92"/>
      <c r="G30" s="92"/>
      <c r="H30" s="92"/>
      <c r="I30" s="131">
        <f>I26*3%</f>
        <v>213300</v>
      </c>
      <c r="J30" s="139">
        <f>J26*3%</f>
        <v>10200</v>
      </c>
      <c r="K30" s="146">
        <f>I30+J30</f>
        <v>223500</v>
      </c>
      <c r="N30" s="35"/>
    </row>
    <row r="31" spans="1:16" x14ac:dyDescent="0.25">
      <c r="A31" s="94"/>
      <c r="B31" s="92"/>
      <c r="C31" s="92"/>
      <c r="D31" s="92"/>
      <c r="E31" s="92"/>
      <c r="F31" s="92"/>
      <c r="G31" s="92"/>
      <c r="H31" s="92"/>
      <c r="I31" s="138" t="s">
        <v>50</v>
      </c>
      <c r="J31" s="143"/>
      <c r="K31" s="151"/>
    </row>
    <row r="32" spans="1:16" x14ac:dyDescent="0.25">
      <c r="A32" s="115"/>
      <c r="B32" s="116" t="s">
        <v>26</v>
      </c>
      <c r="C32" s="116"/>
      <c r="D32" s="116"/>
      <c r="E32" s="116"/>
      <c r="F32" s="116"/>
      <c r="G32" s="116"/>
      <c r="H32" s="116"/>
      <c r="I32" s="131">
        <f>I26-I30</f>
        <v>6896700</v>
      </c>
      <c r="J32" s="139">
        <f>J26-J30</f>
        <v>329800</v>
      </c>
      <c r="K32" s="146">
        <f>K26-K30</f>
        <v>7226500</v>
      </c>
    </row>
    <row r="33" spans="1:11" x14ac:dyDescent="0.25">
      <c r="A33" s="115"/>
      <c r="B33" s="116" t="s">
        <v>27</v>
      </c>
      <c r="C33" s="116"/>
      <c r="D33" s="116"/>
      <c r="E33" s="116"/>
      <c r="F33" s="116"/>
      <c r="G33" s="116"/>
      <c r="H33" s="116"/>
      <c r="I33" s="117"/>
      <c r="J33" s="144">
        <f>J26*1%</f>
        <v>3400</v>
      </c>
      <c r="K33" s="152"/>
    </row>
    <row r="34" spans="1:11" ht="15.75" thickBot="1" x14ac:dyDescent="0.3">
      <c r="A34" s="118"/>
      <c r="B34" s="119" t="s">
        <v>28</v>
      </c>
      <c r="C34" s="120"/>
      <c r="D34" s="120"/>
      <c r="E34" s="120"/>
      <c r="F34" s="120"/>
      <c r="G34" s="120"/>
      <c r="H34" s="120"/>
      <c r="I34" s="120"/>
      <c r="J34" s="145">
        <f>J32-J33</f>
        <v>326400</v>
      </c>
      <c r="K34" s="153"/>
    </row>
    <row r="36" spans="1:11" x14ac:dyDescent="0.25">
      <c r="J36" s="35"/>
    </row>
  </sheetData>
  <mergeCells count="14">
    <mergeCell ref="A19:A20"/>
    <mergeCell ref="A11:K11"/>
    <mergeCell ref="A12:K12"/>
    <mergeCell ref="A7:K7"/>
    <mergeCell ref="A10:K10"/>
    <mergeCell ref="A13:K13"/>
    <mergeCell ref="A16:K16"/>
    <mergeCell ref="A17:K17"/>
    <mergeCell ref="A14:K14"/>
    <mergeCell ref="A15:K15"/>
    <mergeCell ref="I9:K9"/>
    <mergeCell ref="B8:H8"/>
    <mergeCell ref="I8:K8"/>
    <mergeCell ref="B9:H9"/>
  </mergeCells>
  <pageMargins left="0.4" right="0" top="0.74803149606299202" bottom="0.74803149606299202" header="0.31496062992126" footer="0.31496062992126"/>
  <pageSetup paperSize="9" orientation="portrait" horizontalDpi="4294967293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42"/>
  <sheetViews>
    <sheetView topLeftCell="A10" workbookViewId="0">
      <selection activeCell="K38" sqref="K38"/>
    </sheetView>
  </sheetViews>
  <sheetFormatPr defaultRowHeight="15" x14ac:dyDescent="0.25"/>
  <cols>
    <col min="1" max="1" width="4.140625" bestFit="1" customWidth="1"/>
    <col min="2" max="2" width="15.7109375" customWidth="1"/>
    <col min="3" max="3" width="11.5703125" bestFit="1" customWidth="1"/>
    <col min="4" max="4" width="10.5703125" bestFit="1" customWidth="1"/>
    <col min="5" max="6" width="11.140625" bestFit="1" customWidth="1"/>
    <col min="7" max="8" width="10.5703125" bestFit="1" customWidth="1"/>
    <col min="9" max="9" width="14.42578125" bestFit="1" customWidth="1"/>
    <col min="11" max="11" width="10.5703125" bestFit="1" customWidth="1"/>
  </cols>
  <sheetData>
    <row r="1" spans="1:9" ht="15.75" thickBot="1" x14ac:dyDescent="0.3"/>
    <row r="2" spans="1:9" x14ac:dyDescent="0.25">
      <c r="A2" s="72"/>
      <c r="B2" s="268" t="str">
        <f>Sheet2!A9</f>
        <v>NEO ITURKAA ENTERPRISES.</v>
      </c>
      <c r="C2" s="268"/>
      <c r="D2" s="268"/>
      <c r="E2" s="268"/>
      <c r="F2" s="268"/>
      <c r="G2" s="268"/>
      <c r="H2" s="268"/>
      <c r="I2" s="269"/>
    </row>
    <row r="3" spans="1:9" x14ac:dyDescent="0.25">
      <c r="A3" s="73"/>
      <c r="B3" s="270" t="str">
        <f>Sheet2!A14</f>
        <v>Name of Work:-Reainforcemant Work.</v>
      </c>
      <c r="C3" s="270"/>
      <c r="D3" s="270"/>
      <c r="E3" s="270"/>
      <c r="F3" s="270"/>
      <c r="G3" s="270"/>
      <c r="H3" s="270"/>
      <c r="I3" s="271"/>
    </row>
    <row r="4" spans="1:9" x14ac:dyDescent="0.25">
      <c r="A4" s="73"/>
      <c r="B4" s="272"/>
      <c r="C4" s="273"/>
      <c r="D4" s="273"/>
      <c r="E4" s="273"/>
      <c r="F4" s="273"/>
      <c r="G4" s="273"/>
      <c r="H4" s="273"/>
      <c r="I4" s="274"/>
    </row>
    <row r="5" spans="1:9" x14ac:dyDescent="0.25">
      <c r="A5" s="73"/>
      <c r="B5" s="270" t="str">
        <f>Sheet2!A16</f>
        <v>Subject :- REF NO. : 20</v>
      </c>
      <c r="C5" s="270"/>
      <c r="D5" s="270"/>
      <c r="E5" s="270"/>
      <c r="F5" s="270"/>
      <c r="G5" s="270"/>
      <c r="H5" s="270"/>
      <c r="I5" s="271"/>
    </row>
    <row r="6" spans="1:9" x14ac:dyDescent="0.25">
      <c r="A6" s="73"/>
      <c r="B6" s="270" t="s">
        <v>29</v>
      </c>
      <c r="C6" s="270"/>
      <c r="D6" s="270"/>
      <c r="E6" s="270"/>
      <c r="F6" s="270"/>
      <c r="G6" s="270"/>
      <c r="H6" s="270"/>
      <c r="I6" s="271"/>
    </row>
    <row r="7" spans="1:9" x14ac:dyDescent="0.25">
      <c r="A7" s="73"/>
      <c r="B7" s="19"/>
      <c r="C7" s="266" t="s">
        <v>30</v>
      </c>
      <c r="D7" s="266"/>
      <c r="E7" s="266"/>
      <c r="F7" s="267"/>
      <c r="G7" s="267"/>
      <c r="H7" s="19"/>
      <c r="I7" s="74"/>
    </row>
    <row r="8" spans="1:9" x14ac:dyDescent="0.25">
      <c r="A8" s="75"/>
      <c r="B8" s="15" t="s">
        <v>31</v>
      </c>
      <c r="C8" s="15" t="s">
        <v>74</v>
      </c>
      <c r="D8" s="261">
        <f>6832*27</f>
        <v>184464</v>
      </c>
      <c r="E8" s="261"/>
      <c r="F8" s="15" t="s">
        <v>32</v>
      </c>
      <c r="G8" s="20">
        <f>I8/D8</f>
        <v>49.603174603174601</v>
      </c>
      <c r="H8" s="15"/>
      <c r="I8" s="76">
        <f>C41</f>
        <v>9150000</v>
      </c>
    </row>
    <row r="9" spans="1:9" x14ac:dyDescent="0.25">
      <c r="A9" s="73"/>
      <c r="B9" s="262"/>
      <c r="C9" s="262"/>
      <c r="D9" s="262"/>
      <c r="E9" s="262"/>
      <c r="F9" s="262"/>
      <c r="G9" s="262"/>
      <c r="H9" s="262"/>
      <c r="I9" s="263"/>
    </row>
    <row r="10" spans="1:9" x14ac:dyDescent="0.25">
      <c r="A10" s="16" t="s">
        <v>33</v>
      </c>
      <c r="B10" s="15" t="s">
        <v>34</v>
      </c>
      <c r="C10" s="15" t="s">
        <v>73</v>
      </c>
      <c r="D10" s="264" t="s">
        <v>35</v>
      </c>
      <c r="E10" s="264"/>
      <c r="F10" s="264"/>
      <c r="G10" s="264" t="s">
        <v>3</v>
      </c>
      <c r="H10" s="264"/>
      <c r="I10" s="265"/>
    </row>
    <row r="11" spans="1:9" x14ac:dyDescent="0.25">
      <c r="A11" s="12" t="s">
        <v>19</v>
      </c>
      <c r="B11" s="15" t="s">
        <v>36</v>
      </c>
      <c r="C11" s="13"/>
      <c r="D11" s="262"/>
      <c r="E11" s="262"/>
      <c r="F11" s="262"/>
      <c r="G11" s="262"/>
      <c r="H11" s="262"/>
      <c r="I11" s="263"/>
    </row>
    <row r="12" spans="1:9" x14ac:dyDescent="0.25">
      <c r="A12" s="12"/>
      <c r="B12" s="13" t="s">
        <v>81</v>
      </c>
      <c r="C12" s="13"/>
      <c r="D12" s="13" t="s">
        <v>16</v>
      </c>
      <c r="E12" s="13" t="s">
        <v>17</v>
      </c>
      <c r="F12" s="13" t="s">
        <v>18</v>
      </c>
      <c r="G12" s="13" t="s">
        <v>16</v>
      </c>
      <c r="H12" s="13" t="s">
        <v>17</v>
      </c>
      <c r="I12" s="14" t="s">
        <v>18</v>
      </c>
    </row>
    <row r="13" spans="1:9" x14ac:dyDescent="0.25">
      <c r="A13" s="12"/>
      <c r="B13" s="13" t="s">
        <v>82</v>
      </c>
      <c r="C13" s="13"/>
      <c r="D13" s="13" t="s">
        <v>21</v>
      </c>
      <c r="E13" s="13" t="s">
        <v>21</v>
      </c>
      <c r="F13" s="13" t="s">
        <v>21</v>
      </c>
      <c r="G13" s="13" t="s">
        <v>3</v>
      </c>
      <c r="H13" s="13" t="s">
        <v>3</v>
      </c>
      <c r="I13" s="14" t="s">
        <v>3</v>
      </c>
    </row>
    <row r="14" spans="1:9" x14ac:dyDescent="0.25">
      <c r="A14" s="38">
        <v>1</v>
      </c>
      <c r="B14" s="21" t="s">
        <v>85</v>
      </c>
      <c r="C14" s="122">
        <v>310000</v>
      </c>
      <c r="D14" s="162">
        <v>1</v>
      </c>
      <c r="E14" s="162">
        <v>0</v>
      </c>
      <c r="F14" s="162">
        <f>D14+E14</f>
        <v>1</v>
      </c>
      <c r="G14" s="163">
        <f t="shared" ref="G14:G34" si="0">C14</f>
        <v>310000</v>
      </c>
      <c r="H14" s="164">
        <v>0</v>
      </c>
      <c r="I14" s="165">
        <f t="shared" ref="I14:I39" si="1">G14+H14</f>
        <v>310000</v>
      </c>
    </row>
    <row r="15" spans="1:9" x14ac:dyDescent="0.25">
      <c r="A15" s="38">
        <v>2</v>
      </c>
      <c r="B15" s="21" t="s">
        <v>86</v>
      </c>
      <c r="C15" s="122">
        <v>340000</v>
      </c>
      <c r="D15" s="162">
        <v>1</v>
      </c>
      <c r="E15" s="162">
        <v>0</v>
      </c>
      <c r="F15" s="162">
        <f t="shared" ref="F15:F39" si="2">D15+E15</f>
        <v>1</v>
      </c>
      <c r="G15" s="166">
        <f t="shared" si="0"/>
        <v>340000</v>
      </c>
      <c r="H15" s="164">
        <v>0</v>
      </c>
      <c r="I15" s="165">
        <f t="shared" si="1"/>
        <v>340000</v>
      </c>
    </row>
    <row r="16" spans="1:9" x14ac:dyDescent="0.25">
      <c r="A16" s="38">
        <v>3</v>
      </c>
      <c r="B16" s="21" t="s">
        <v>87</v>
      </c>
      <c r="C16" s="122">
        <v>340000</v>
      </c>
      <c r="D16" s="162">
        <v>1</v>
      </c>
      <c r="E16" s="162">
        <v>0</v>
      </c>
      <c r="F16" s="162">
        <f t="shared" si="2"/>
        <v>1</v>
      </c>
      <c r="G16" s="166">
        <f t="shared" si="0"/>
        <v>340000</v>
      </c>
      <c r="H16" s="164">
        <v>0</v>
      </c>
      <c r="I16" s="165">
        <f t="shared" si="1"/>
        <v>340000</v>
      </c>
    </row>
    <row r="17" spans="1:9" x14ac:dyDescent="0.25">
      <c r="A17" s="38">
        <v>4</v>
      </c>
      <c r="B17" s="21" t="s">
        <v>37</v>
      </c>
      <c r="C17" s="122">
        <v>340000</v>
      </c>
      <c r="D17" s="162">
        <v>1</v>
      </c>
      <c r="E17" s="162">
        <v>0</v>
      </c>
      <c r="F17" s="162">
        <f t="shared" ref="F17:F34" si="3">D17+E17</f>
        <v>1</v>
      </c>
      <c r="G17" s="166">
        <f t="shared" si="0"/>
        <v>340000</v>
      </c>
      <c r="H17" s="164">
        <v>0</v>
      </c>
      <c r="I17" s="165">
        <f t="shared" si="1"/>
        <v>340000</v>
      </c>
    </row>
    <row r="18" spans="1:9" x14ac:dyDescent="0.25">
      <c r="A18" s="38">
        <v>5</v>
      </c>
      <c r="B18" s="21" t="s">
        <v>88</v>
      </c>
      <c r="C18" s="122">
        <v>340000</v>
      </c>
      <c r="D18" s="162">
        <v>1</v>
      </c>
      <c r="E18" s="162">
        <v>0</v>
      </c>
      <c r="F18" s="162">
        <f t="shared" si="3"/>
        <v>1</v>
      </c>
      <c r="G18" s="166">
        <f t="shared" si="0"/>
        <v>340000</v>
      </c>
      <c r="H18" s="164">
        <v>0</v>
      </c>
      <c r="I18" s="165">
        <f t="shared" si="1"/>
        <v>340000</v>
      </c>
    </row>
    <row r="19" spans="1:9" x14ac:dyDescent="0.25">
      <c r="A19" s="38">
        <v>6</v>
      </c>
      <c r="B19" s="21" t="s">
        <v>89</v>
      </c>
      <c r="C19" s="122">
        <v>340000</v>
      </c>
      <c r="D19" s="162">
        <v>1</v>
      </c>
      <c r="E19" s="162">
        <v>0</v>
      </c>
      <c r="F19" s="162">
        <f t="shared" si="3"/>
        <v>1</v>
      </c>
      <c r="G19" s="166">
        <f t="shared" si="0"/>
        <v>340000</v>
      </c>
      <c r="H19" s="164">
        <v>0</v>
      </c>
      <c r="I19" s="165">
        <f t="shared" si="1"/>
        <v>340000</v>
      </c>
    </row>
    <row r="20" spans="1:9" x14ac:dyDescent="0.25">
      <c r="A20" s="38">
        <v>7</v>
      </c>
      <c r="B20" s="21" t="s">
        <v>90</v>
      </c>
      <c r="C20" s="122">
        <v>340000</v>
      </c>
      <c r="D20" s="162">
        <v>1</v>
      </c>
      <c r="E20" s="162">
        <v>0</v>
      </c>
      <c r="F20" s="162">
        <f t="shared" si="3"/>
        <v>1</v>
      </c>
      <c r="G20" s="166">
        <f t="shared" si="0"/>
        <v>340000</v>
      </c>
      <c r="H20" s="164">
        <v>0</v>
      </c>
      <c r="I20" s="165">
        <f t="shared" si="1"/>
        <v>340000</v>
      </c>
    </row>
    <row r="21" spans="1:9" x14ac:dyDescent="0.25">
      <c r="A21" s="38">
        <v>8</v>
      </c>
      <c r="B21" s="21" t="s">
        <v>91</v>
      </c>
      <c r="C21" s="122">
        <v>340000</v>
      </c>
      <c r="D21" s="162">
        <v>1</v>
      </c>
      <c r="E21" s="162">
        <v>0</v>
      </c>
      <c r="F21" s="162">
        <f t="shared" si="3"/>
        <v>1</v>
      </c>
      <c r="G21" s="166">
        <f t="shared" si="0"/>
        <v>340000</v>
      </c>
      <c r="H21" s="164">
        <v>0</v>
      </c>
      <c r="I21" s="165">
        <f t="shared" si="1"/>
        <v>340000</v>
      </c>
    </row>
    <row r="22" spans="1:9" x14ac:dyDescent="0.25">
      <c r="A22" s="38">
        <v>9</v>
      </c>
      <c r="B22" s="21" t="s">
        <v>51</v>
      </c>
      <c r="C22" s="122">
        <v>340000</v>
      </c>
      <c r="D22" s="162">
        <v>1</v>
      </c>
      <c r="E22" s="162">
        <v>0</v>
      </c>
      <c r="F22" s="162">
        <f t="shared" si="3"/>
        <v>1</v>
      </c>
      <c r="G22" s="166">
        <f t="shared" si="0"/>
        <v>340000</v>
      </c>
      <c r="H22" s="164">
        <v>0</v>
      </c>
      <c r="I22" s="165">
        <f t="shared" si="1"/>
        <v>340000</v>
      </c>
    </row>
    <row r="23" spans="1:9" x14ac:dyDescent="0.25">
      <c r="A23" s="38">
        <v>10</v>
      </c>
      <c r="B23" s="21" t="s">
        <v>52</v>
      </c>
      <c r="C23" s="122">
        <v>340000</v>
      </c>
      <c r="D23" s="162">
        <v>1</v>
      </c>
      <c r="E23" s="162">
        <v>0</v>
      </c>
      <c r="F23" s="162">
        <f t="shared" si="3"/>
        <v>1</v>
      </c>
      <c r="G23" s="166">
        <f t="shared" si="0"/>
        <v>340000</v>
      </c>
      <c r="H23" s="164">
        <v>0</v>
      </c>
      <c r="I23" s="165">
        <f t="shared" si="1"/>
        <v>340000</v>
      </c>
    </row>
    <row r="24" spans="1:9" x14ac:dyDescent="0.25">
      <c r="A24" s="38">
        <v>11</v>
      </c>
      <c r="B24" s="21" t="s">
        <v>53</v>
      </c>
      <c r="C24" s="122">
        <v>340000</v>
      </c>
      <c r="D24" s="162">
        <v>1</v>
      </c>
      <c r="E24" s="162">
        <v>0</v>
      </c>
      <c r="F24" s="162">
        <f t="shared" si="3"/>
        <v>1</v>
      </c>
      <c r="G24" s="166">
        <f t="shared" si="0"/>
        <v>340000</v>
      </c>
      <c r="H24" s="164">
        <v>0</v>
      </c>
      <c r="I24" s="165">
        <f t="shared" si="1"/>
        <v>340000</v>
      </c>
    </row>
    <row r="25" spans="1:9" x14ac:dyDescent="0.25">
      <c r="A25" s="38">
        <v>12</v>
      </c>
      <c r="B25" s="21" t="s">
        <v>54</v>
      </c>
      <c r="C25" s="122">
        <v>340000</v>
      </c>
      <c r="D25" s="162">
        <v>1</v>
      </c>
      <c r="E25" s="162">
        <v>0</v>
      </c>
      <c r="F25" s="162">
        <f t="shared" si="3"/>
        <v>1</v>
      </c>
      <c r="G25" s="166">
        <f t="shared" si="0"/>
        <v>340000</v>
      </c>
      <c r="H25" s="164">
        <v>0</v>
      </c>
      <c r="I25" s="165">
        <f t="shared" si="1"/>
        <v>340000</v>
      </c>
    </row>
    <row r="26" spans="1:9" x14ac:dyDescent="0.25">
      <c r="A26" s="38">
        <v>13</v>
      </c>
      <c r="B26" s="21" t="s">
        <v>55</v>
      </c>
      <c r="C26" s="122">
        <v>340000</v>
      </c>
      <c r="D26" s="162">
        <v>1</v>
      </c>
      <c r="E26" s="162">
        <v>0</v>
      </c>
      <c r="F26" s="162">
        <f t="shared" si="3"/>
        <v>1</v>
      </c>
      <c r="G26" s="166">
        <f t="shared" si="0"/>
        <v>340000</v>
      </c>
      <c r="H26" s="164">
        <v>0</v>
      </c>
      <c r="I26" s="165">
        <f t="shared" si="1"/>
        <v>340000</v>
      </c>
    </row>
    <row r="27" spans="1:9" x14ac:dyDescent="0.25">
      <c r="A27" s="38">
        <v>14</v>
      </c>
      <c r="B27" s="21" t="s">
        <v>56</v>
      </c>
      <c r="C27" s="122">
        <v>340000</v>
      </c>
      <c r="D27" s="162">
        <v>1</v>
      </c>
      <c r="E27" s="162">
        <v>0</v>
      </c>
      <c r="F27" s="162">
        <f t="shared" si="3"/>
        <v>1</v>
      </c>
      <c r="G27" s="166">
        <f t="shared" si="0"/>
        <v>340000</v>
      </c>
      <c r="H27" s="164">
        <v>0</v>
      </c>
      <c r="I27" s="165">
        <f t="shared" si="1"/>
        <v>340000</v>
      </c>
    </row>
    <row r="28" spans="1:9" x14ac:dyDescent="0.25">
      <c r="A28" s="38">
        <v>15</v>
      </c>
      <c r="B28" s="21" t="s">
        <v>57</v>
      </c>
      <c r="C28" s="122">
        <v>340000</v>
      </c>
      <c r="D28" s="162">
        <v>1</v>
      </c>
      <c r="E28" s="162">
        <v>0</v>
      </c>
      <c r="F28" s="162">
        <f t="shared" si="3"/>
        <v>1</v>
      </c>
      <c r="G28" s="166">
        <f t="shared" si="0"/>
        <v>340000</v>
      </c>
      <c r="H28" s="164">
        <v>0</v>
      </c>
      <c r="I28" s="165">
        <f t="shared" si="1"/>
        <v>340000</v>
      </c>
    </row>
    <row r="29" spans="1:9" x14ac:dyDescent="0.25">
      <c r="A29" s="38">
        <v>16</v>
      </c>
      <c r="B29" s="21" t="s">
        <v>92</v>
      </c>
      <c r="C29" s="122">
        <v>340000</v>
      </c>
      <c r="D29" s="162">
        <v>1</v>
      </c>
      <c r="E29" s="162">
        <v>0</v>
      </c>
      <c r="F29" s="162">
        <f t="shared" si="3"/>
        <v>1</v>
      </c>
      <c r="G29" s="166">
        <f t="shared" si="0"/>
        <v>340000</v>
      </c>
      <c r="H29" s="164">
        <v>0</v>
      </c>
      <c r="I29" s="165">
        <f t="shared" si="1"/>
        <v>340000</v>
      </c>
    </row>
    <row r="30" spans="1:9" x14ac:dyDescent="0.25">
      <c r="A30" s="38">
        <v>17</v>
      </c>
      <c r="B30" s="21" t="s">
        <v>93</v>
      </c>
      <c r="C30" s="122">
        <v>340000</v>
      </c>
      <c r="D30" s="162">
        <v>1</v>
      </c>
      <c r="E30" s="162">
        <v>0</v>
      </c>
      <c r="F30" s="162">
        <f t="shared" si="3"/>
        <v>1</v>
      </c>
      <c r="G30" s="166">
        <f t="shared" si="0"/>
        <v>340000</v>
      </c>
      <c r="H30" s="164">
        <v>0</v>
      </c>
      <c r="I30" s="165">
        <f t="shared" si="1"/>
        <v>340000</v>
      </c>
    </row>
    <row r="31" spans="1:9" x14ac:dyDescent="0.25">
      <c r="A31" s="38">
        <v>18</v>
      </c>
      <c r="B31" s="21" t="s">
        <v>94</v>
      </c>
      <c r="C31" s="122">
        <v>340000</v>
      </c>
      <c r="D31" s="162">
        <v>1</v>
      </c>
      <c r="E31" s="162">
        <v>0</v>
      </c>
      <c r="F31" s="162">
        <f t="shared" si="3"/>
        <v>1</v>
      </c>
      <c r="G31" s="166">
        <f t="shared" si="0"/>
        <v>340000</v>
      </c>
      <c r="H31" s="164">
        <v>0</v>
      </c>
      <c r="I31" s="165">
        <f t="shared" si="1"/>
        <v>340000</v>
      </c>
    </row>
    <row r="32" spans="1:9" x14ac:dyDescent="0.25">
      <c r="A32" s="38">
        <v>19</v>
      </c>
      <c r="B32" s="21" t="s">
        <v>95</v>
      </c>
      <c r="C32" s="122">
        <v>340000</v>
      </c>
      <c r="D32" s="162">
        <v>1</v>
      </c>
      <c r="E32" s="162">
        <v>0</v>
      </c>
      <c r="F32" s="162">
        <f t="shared" si="3"/>
        <v>1</v>
      </c>
      <c r="G32" s="166">
        <f t="shared" si="0"/>
        <v>340000</v>
      </c>
      <c r="H32" s="164">
        <v>0</v>
      </c>
      <c r="I32" s="165">
        <f t="shared" si="1"/>
        <v>340000</v>
      </c>
    </row>
    <row r="33" spans="1:11" x14ac:dyDescent="0.25">
      <c r="A33" s="38">
        <v>20</v>
      </c>
      <c r="B33" s="21" t="s">
        <v>96</v>
      </c>
      <c r="C33" s="122">
        <v>340000</v>
      </c>
      <c r="D33" s="162">
        <v>1</v>
      </c>
      <c r="E33" s="162">
        <v>0</v>
      </c>
      <c r="F33" s="162">
        <f t="shared" si="3"/>
        <v>1</v>
      </c>
      <c r="G33" s="166">
        <f t="shared" si="0"/>
        <v>340000</v>
      </c>
      <c r="H33" s="164">
        <v>0</v>
      </c>
      <c r="I33" s="165">
        <f t="shared" si="1"/>
        <v>340000</v>
      </c>
    </row>
    <row r="34" spans="1:11" x14ac:dyDescent="0.25">
      <c r="A34" s="38">
        <v>21</v>
      </c>
      <c r="B34" s="21" t="s">
        <v>97</v>
      </c>
      <c r="C34" s="122">
        <v>340000</v>
      </c>
      <c r="D34" s="162">
        <v>1</v>
      </c>
      <c r="E34" s="162">
        <v>0</v>
      </c>
      <c r="F34" s="162">
        <f t="shared" si="3"/>
        <v>1</v>
      </c>
      <c r="G34" s="166">
        <f t="shared" si="0"/>
        <v>340000</v>
      </c>
      <c r="H34" s="164">
        <v>0</v>
      </c>
      <c r="I34" s="165">
        <f t="shared" si="1"/>
        <v>340000</v>
      </c>
    </row>
    <row r="35" spans="1:11" x14ac:dyDescent="0.25">
      <c r="A35" s="38">
        <v>22</v>
      </c>
      <c r="B35" s="21" t="s">
        <v>98</v>
      </c>
      <c r="C35" s="122">
        <v>340000</v>
      </c>
      <c r="D35" s="218">
        <v>0</v>
      </c>
      <c r="E35" s="219">
        <v>1</v>
      </c>
      <c r="F35" s="219">
        <f t="shared" si="2"/>
        <v>1</v>
      </c>
      <c r="G35" s="220">
        <v>0</v>
      </c>
      <c r="H35" s="221">
        <f t="shared" ref="H35" si="4">C35</f>
        <v>340000</v>
      </c>
      <c r="I35" s="222">
        <f t="shared" si="1"/>
        <v>340000</v>
      </c>
    </row>
    <row r="36" spans="1:11" x14ac:dyDescent="0.25">
      <c r="A36" s="38">
        <v>23</v>
      </c>
      <c r="B36" s="21" t="s">
        <v>99</v>
      </c>
      <c r="C36" s="122">
        <v>340000</v>
      </c>
      <c r="D36" s="41">
        <v>0</v>
      </c>
      <c r="E36" s="41">
        <v>0</v>
      </c>
      <c r="F36" s="41">
        <f t="shared" si="2"/>
        <v>0</v>
      </c>
      <c r="G36" s="40">
        <f t="shared" ref="G36:G39" si="5">F36</f>
        <v>0</v>
      </c>
      <c r="H36" s="24">
        <f t="shared" ref="H36:H39" si="6">E36</f>
        <v>0</v>
      </c>
      <c r="I36" s="77">
        <f t="shared" si="1"/>
        <v>0</v>
      </c>
    </row>
    <row r="37" spans="1:11" x14ac:dyDescent="0.25">
      <c r="A37" s="38">
        <v>24</v>
      </c>
      <c r="B37" s="21" t="s">
        <v>100</v>
      </c>
      <c r="C37" s="122">
        <v>340000</v>
      </c>
      <c r="D37" s="41">
        <v>0</v>
      </c>
      <c r="E37" s="41">
        <v>0</v>
      </c>
      <c r="F37" s="41">
        <f t="shared" si="2"/>
        <v>0</v>
      </c>
      <c r="G37" s="40">
        <f t="shared" si="5"/>
        <v>0</v>
      </c>
      <c r="H37" s="24">
        <f t="shared" si="6"/>
        <v>0</v>
      </c>
      <c r="I37" s="77">
        <f t="shared" si="1"/>
        <v>0</v>
      </c>
    </row>
    <row r="38" spans="1:11" ht="38.25" x14ac:dyDescent="0.25">
      <c r="A38" s="38">
        <v>25</v>
      </c>
      <c r="B38" s="25" t="s">
        <v>101</v>
      </c>
      <c r="C38" s="122">
        <v>340000</v>
      </c>
      <c r="D38" s="41">
        <v>0</v>
      </c>
      <c r="E38" s="41">
        <v>0</v>
      </c>
      <c r="F38" s="41">
        <f t="shared" si="2"/>
        <v>0</v>
      </c>
      <c r="G38" s="40">
        <f t="shared" si="5"/>
        <v>0</v>
      </c>
      <c r="H38" s="24">
        <f t="shared" si="6"/>
        <v>0</v>
      </c>
      <c r="I38" s="77">
        <f t="shared" si="1"/>
        <v>0</v>
      </c>
      <c r="K38" s="35"/>
    </row>
    <row r="39" spans="1:11" ht="36" x14ac:dyDescent="0.25">
      <c r="A39" s="38">
        <v>26</v>
      </c>
      <c r="B39" s="26" t="s">
        <v>38</v>
      </c>
      <c r="C39" s="122">
        <v>680000</v>
      </c>
      <c r="D39" s="41">
        <v>0</v>
      </c>
      <c r="E39" s="41">
        <v>0</v>
      </c>
      <c r="F39" s="41">
        <f t="shared" si="2"/>
        <v>0</v>
      </c>
      <c r="G39" s="40">
        <f t="shared" si="5"/>
        <v>0</v>
      </c>
      <c r="H39" s="24">
        <f t="shared" si="6"/>
        <v>0</v>
      </c>
      <c r="I39" s="77">
        <f t="shared" si="1"/>
        <v>0</v>
      </c>
      <c r="K39" s="35"/>
    </row>
    <row r="40" spans="1:11" x14ac:dyDescent="0.25">
      <c r="A40" s="38"/>
      <c r="B40" s="26"/>
      <c r="C40" s="29"/>
      <c r="D40" s="22"/>
      <c r="E40" s="23"/>
      <c r="F40" s="27"/>
      <c r="G40" s="28"/>
      <c r="H40" s="29"/>
      <c r="I40" s="78"/>
      <c r="K40" s="35"/>
    </row>
    <row r="41" spans="1:11" x14ac:dyDescent="0.25">
      <c r="A41" s="38"/>
      <c r="B41" s="30" t="s">
        <v>39</v>
      </c>
      <c r="C41" s="39">
        <f>SUM(C14:C40)</f>
        <v>9150000</v>
      </c>
      <c r="D41" s="160">
        <f>SUM(D14:D40)</f>
        <v>21</v>
      </c>
      <c r="E41" s="160">
        <f t="shared" ref="E41:F41" si="7">SUM(E14:E40)</f>
        <v>1</v>
      </c>
      <c r="F41" s="160">
        <f t="shared" si="7"/>
        <v>22</v>
      </c>
      <c r="G41" s="123">
        <f>SUM(G14:G40)</f>
        <v>7110000</v>
      </c>
      <c r="H41" s="124">
        <f>SUM(H14:H40)</f>
        <v>340000</v>
      </c>
      <c r="I41" s="125">
        <f>SUM(I14:I40)</f>
        <v>7450000</v>
      </c>
    </row>
    <row r="42" spans="1:11" ht="15.75" thickBot="1" x14ac:dyDescent="0.3">
      <c r="A42" s="17"/>
      <c r="B42" s="18"/>
      <c r="C42" s="18"/>
      <c r="D42" s="18"/>
      <c r="E42" s="18"/>
      <c r="F42" s="18"/>
      <c r="G42" s="18"/>
      <c r="H42" s="79"/>
      <c r="I42" s="80"/>
    </row>
  </sheetData>
  <mergeCells count="13">
    <mergeCell ref="C7:E7"/>
    <mergeCell ref="F7:G7"/>
    <mergeCell ref="B2:I2"/>
    <mergeCell ref="B3:I3"/>
    <mergeCell ref="B5:I5"/>
    <mergeCell ref="B6:I6"/>
    <mergeCell ref="B4:I4"/>
    <mergeCell ref="D8:E8"/>
    <mergeCell ref="B9:I9"/>
    <mergeCell ref="D10:F10"/>
    <mergeCell ref="G10:I10"/>
    <mergeCell ref="D11:F11"/>
    <mergeCell ref="G11:I11"/>
  </mergeCells>
  <phoneticPr fontId="23" type="noConversion"/>
  <pageMargins left="0.5" right="0.23622047244094499" top="1.5" bottom="0" header="0" footer="0.31496062992126"/>
  <pageSetup paperSize="9" scale="96" orientation="portrait" horizontalDpi="4294967293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22"/>
  <sheetViews>
    <sheetView workbookViewId="0">
      <selection activeCell="I14" sqref="I14"/>
    </sheetView>
  </sheetViews>
  <sheetFormatPr defaultRowHeight="15" x14ac:dyDescent="0.25"/>
  <cols>
    <col min="1" max="1" width="9.5703125" customWidth="1"/>
    <col min="2" max="2" width="6.7109375" customWidth="1"/>
    <col min="3" max="3" width="20.42578125" customWidth="1"/>
    <col min="4" max="4" width="4.7109375" bestFit="1" customWidth="1"/>
    <col min="5" max="5" width="7.5703125" bestFit="1" customWidth="1"/>
    <col min="6" max="6" width="6.140625" bestFit="1" customWidth="1"/>
    <col min="7" max="7" width="6.28515625" bestFit="1" customWidth="1"/>
    <col min="8" max="8" width="5.42578125" bestFit="1" customWidth="1"/>
    <col min="9" max="9" width="7.28515625" bestFit="1" customWidth="1"/>
    <col min="10" max="10" width="15" bestFit="1" customWidth="1"/>
  </cols>
  <sheetData>
    <row r="2" spans="1:10" ht="15.75" thickBot="1" x14ac:dyDescent="0.3"/>
    <row r="3" spans="1:10" x14ac:dyDescent="0.25">
      <c r="A3" s="275" t="str">
        <f>Sheet2!A9</f>
        <v>NEO ITURKAA ENTERPRISES.</v>
      </c>
      <c r="B3" s="276"/>
      <c r="C3" s="276"/>
      <c r="D3" s="276"/>
      <c r="E3" s="276"/>
      <c r="F3" s="276"/>
      <c r="G3" s="276"/>
      <c r="H3" s="276"/>
      <c r="I3" s="276"/>
      <c r="J3" s="277"/>
    </row>
    <row r="4" spans="1:10" ht="18" customHeight="1" x14ac:dyDescent="0.25">
      <c r="A4" s="278" t="s">
        <v>139</v>
      </c>
      <c r="B4" s="279"/>
      <c r="C4" s="279"/>
      <c r="D4" s="279"/>
      <c r="E4" s="279"/>
      <c r="F4" s="279"/>
      <c r="G4" s="279"/>
      <c r="H4" s="280"/>
      <c r="I4" s="302" t="str">
        <f>Sheet2!I8</f>
        <v>Date : 05-05-2026</v>
      </c>
      <c r="J4" s="303"/>
    </row>
    <row r="5" spans="1:10" ht="15.75" thickBot="1" x14ac:dyDescent="0.3">
      <c r="A5" s="299" t="s">
        <v>40</v>
      </c>
      <c r="B5" s="300"/>
      <c r="C5" s="300"/>
      <c r="D5" s="300"/>
      <c r="E5" s="300"/>
      <c r="F5" s="300"/>
      <c r="G5" s="300"/>
      <c r="H5" s="300"/>
      <c r="I5" s="300"/>
      <c r="J5" s="301"/>
    </row>
    <row r="6" spans="1:10" ht="38.25" x14ac:dyDescent="0.25">
      <c r="A6" s="43" t="s">
        <v>41</v>
      </c>
      <c r="B6" s="44" t="s">
        <v>42</v>
      </c>
      <c r="C6" s="45" t="s">
        <v>58</v>
      </c>
      <c r="D6" s="46" t="s">
        <v>43</v>
      </c>
      <c r="E6" s="45" t="s">
        <v>59</v>
      </c>
      <c r="F6" s="45" t="s">
        <v>60</v>
      </c>
      <c r="G6" s="45" t="s">
        <v>75</v>
      </c>
      <c r="H6" s="47" t="s">
        <v>59</v>
      </c>
      <c r="I6" s="47" t="s">
        <v>61</v>
      </c>
      <c r="J6" s="48" t="s">
        <v>44</v>
      </c>
    </row>
    <row r="7" spans="1:10" x14ac:dyDescent="0.25">
      <c r="A7" s="57"/>
      <c r="B7" s="53"/>
      <c r="C7" s="52"/>
      <c r="D7" s="53"/>
      <c r="E7" s="53"/>
      <c r="F7" s="53"/>
      <c r="G7" s="56"/>
      <c r="H7" s="55"/>
      <c r="I7" s="55"/>
      <c r="J7" s="58"/>
    </row>
    <row r="8" spans="1:10" x14ac:dyDescent="0.25">
      <c r="A8" s="57"/>
      <c r="B8" s="53"/>
      <c r="C8" s="52"/>
      <c r="D8" s="54"/>
      <c r="E8" s="55"/>
      <c r="F8" s="55"/>
      <c r="G8" s="53"/>
      <c r="H8" s="53"/>
      <c r="I8" s="53"/>
      <c r="J8" s="58"/>
    </row>
    <row r="9" spans="1:10" x14ac:dyDescent="0.25">
      <c r="A9" s="57"/>
      <c r="B9" s="53"/>
      <c r="C9" s="52"/>
      <c r="D9" s="53"/>
      <c r="E9" s="53"/>
      <c r="F9" s="53"/>
      <c r="G9" s="56"/>
      <c r="H9" s="55"/>
      <c r="I9" s="55"/>
      <c r="J9" s="58"/>
    </row>
    <row r="10" spans="1:10" x14ac:dyDescent="0.25">
      <c r="A10" s="57"/>
      <c r="B10" s="53"/>
      <c r="C10" s="52"/>
      <c r="D10" s="53"/>
      <c r="E10" s="53"/>
      <c r="F10" s="53"/>
      <c r="G10" s="56"/>
      <c r="H10" s="55"/>
      <c r="I10" s="55"/>
      <c r="J10" s="58"/>
    </row>
    <row r="11" spans="1:10" x14ac:dyDescent="0.25">
      <c r="A11" s="57"/>
      <c r="B11" s="53"/>
      <c r="C11" s="52"/>
      <c r="D11" s="53"/>
      <c r="E11" s="53"/>
      <c r="F11" s="53"/>
      <c r="G11" s="56"/>
      <c r="H11" s="55"/>
      <c r="I11" s="55"/>
      <c r="J11" s="58"/>
    </row>
    <row r="12" spans="1:10" x14ac:dyDescent="0.25">
      <c r="A12" s="57"/>
      <c r="B12" s="53"/>
      <c r="C12" s="52"/>
      <c r="D12" s="54"/>
      <c r="E12" s="55"/>
      <c r="F12" s="55"/>
      <c r="G12" s="53"/>
      <c r="H12" s="53"/>
      <c r="I12" s="53"/>
      <c r="J12" s="58"/>
    </row>
    <row r="13" spans="1:10" x14ac:dyDescent="0.25">
      <c r="A13" s="57"/>
      <c r="B13" s="53"/>
      <c r="C13" s="52"/>
      <c r="D13" s="54"/>
      <c r="E13" s="55"/>
      <c r="F13" s="55"/>
      <c r="G13" s="53"/>
      <c r="H13" s="53"/>
      <c r="I13" s="53"/>
      <c r="J13" s="58"/>
    </row>
    <row r="14" spans="1:10" ht="26.25" customHeight="1" x14ac:dyDescent="0.25">
      <c r="A14" s="57"/>
      <c r="B14" s="53"/>
      <c r="C14" s="52"/>
      <c r="D14" s="53"/>
      <c r="E14" s="53"/>
      <c r="F14" s="53"/>
      <c r="G14" s="56"/>
      <c r="H14" s="55"/>
      <c r="I14" s="55"/>
      <c r="J14" s="58"/>
    </row>
    <row r="15" spans="1:10" x14ac:dyDescent="0.25">
      <c r="A15" s="57"/>
      <c r="B15" s="53"/>
      <c r="C15" s="52"/>
      <c r="D15" s="53"/>
      <c r="E15" s="55"/>
      <c r="F15" s="53"/>
      <c r="G15" s="53"/>
      <c r="H15" s="53"/>
      <c r="I15" s="53"/>
      <c r="J15" s="58"/>
    </row>
    <row r="16" spans="1:10" ht="16.5" thickBot="1" x14ac:dyDescent="0.3">
      <c r="A16" s="66"/>
      <c r="B16" s="67"/>
      <c r="C16" s="67" t="s">
        <v>45</v>
      </c>
      <c r="D16" s="67"/>
      <c r="E16" s="68"/>
      <c r="F16" s="69">
        <f>SUM(F7:F15)</f>
        <v>0</v>
      </c>
      <c r="G16" s="67"/>
      <c r="H16" s="67"/>
      <c r="I16" s="70">
        <f>SUM(I7:I15)</f>
        <v>0</v>
      </c>
      <c r="J16" s="71"/>
    </row>
    <row r="17" spans="1:10" x14ac:dyDescent="0.25">
      <c r="A17" s="63"/>
      <c r="B17" s="59"/>
      <c r="C17" s="59"/>
      <c r="D17" s="59"/>
      <c r="E17" s="60"/>
      <c r="F17" s="59"/>
      <c r="G17" s="59"/>
      <c r="H17" s="59"/>
      <c r="I17" s="59"/>
      <c r="J17" s="64"/>
    </row>
    <row r="18" spans="1:10" x14ac:dyDescent="0.25">
      <c r="A18" s="49"/>
      <c r="B18" s="50"/>
      <c r="C18" s="306"/>
      <c r="D18" s="307"/>
      <c r="E18" s="290" t="s">
        <v>77</v>
      </c>
      <c r="F18" s="291"/>
      <c r="G18" s="284" t="s">
        <v>76</v>
      </c>
      <c r="H18" s="285"/>
      <c r="I18" s="51"/>
      <c r="J18" s="281"/>
    </row>
    <row r="19" spans="1:10" x14ac:dyDescent="0.25">
      <c r="A19" s="31"/>
      <c r="B19" s="32"/>
      <c r="C19" s="308" t="s">
        <v>46</v>
      </c>
      <c r="D19" s="309"/>
      <c r="E19" s="292">
        <f>F16</f>
        <v>0</v>
      </c>
      <c r="F19" s="293"/>
      <c r="G19" s="286">
        <v>0</v>
      </c>
      <c r="H19" s="287"/>
      <c r="I19" s="42"/>
      <c r="J19" s="282"/>
    </row>
    <row r="20" spans="1:10" ht="15.75" thickBot="1" x14ac:dyDescent="0.3">
      <c r="A20" s="33"/>
      <c r="B20" s="34"/>
      <c r="C20" s="288" t="s">
        <v>15</v>
      </c>
      <c r="D20" s="289"/>
      <c r="E20" s="304">
        <v>1100</v>
      </c>
      <c r="F20" s="305"/>
      <c r="G20" s="288">
        <v>800</v>
      </c>
      <c r="H20" s="289"/>
      <c r="I20" s="65"/>
      <c r="J20" s="283"/>
    </row>
    <row r="21" spans="1:10" ht="15.75" thickBot="1" x14ac:dyDescent="0.3">
      <c r="A21" s="61"/>
      <c r="B21" s="62"/>
      <c r="C21" s="310" t="s">
        <v>47</v>
      </c>
      <c r="D21" s="311"/>
      <c r="E21" s="312">
        <f>E20*E19</f>
        <v>0</v>
      </c>
      <c r="F21" s="313"/>
      <c r="G21" s="294">
        <f>G20*G19</f>
        <v>0</v>
      </c>
      <c r="H21" s="295"/>
      <c r="I21" s="296">
        <f>E21*G21</f>
        <v>0</v>
      </c>
      <c r="J21" s="297"/>
    </row>
    <row r="22" spans="1:10" x14ac:dyDescent="0.25">
      <c r="A22" s="298"/>
      <c r="B22" s="298"/>
      <c r="C22" s="298"/>
      <c r="D22" s="298"/>
      <c r="E22" s="298"/>
      <c r="F22" s="298"/>
      <c r="G22" s="298"/>
      <c r="H22" s="298"/>
      <c r="I22" s="298"/>
      <c r="J22" s="298"/>
    </row>
  </sheetData>
  <mergeCells count="19">
    <mergeCell ref="G21:H21"/>
    <mergeCell ref="I21:J21"/>
    <mergeCell ref="A22:J22"/>
    <mergeCell ref="A5:J5"/>
    <mergeCell ref="I4:J4"/>
    <mergeCell ref="E20:F20"/>
    <mergeCell ref="C18:D18"/>
    <mergeCell ref="C19:D19"/>
    <mergeCell ref="C20:D20"/>
    <mergeCell ref="C21:D21"/>
    <mergeCell ref="E21:F21"/>
    <mergeCell ref="A3:J3"/>
    <mergeCell ref="A4:H4"/>
    <mergeCell ref="J18:J20"/>
    <mergeCell ref="G18:H18"/>
    <mergeCell ref="G19:H19"/>
    <mergeCell ref="G20:H20"/>
    <mergeCell ref="E18:F18"/>
    <mergeCell ref="E19:F19"/>
  </mergeCells>
  <phoneticPr fontId="23" type="noConversion"/>
  <pageMargins left="0.65" right="0.4" top="1.33858267716535" bottom="0.74803149606299202" header="0.31496062992126" footer="0.31496062992126"/>
  <pageSetup paperSize="9" orientation="portrait" horizontalDpi="4294967293" verticalDpi="36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N102"/>
  <sheetViews>
    <sheetView topLeftCell="A40" workbookViewId="0">
      <selection activeCell="M108" sqref="M108"/>
    </sheetView>
  </sheetViews>
  <sheetFormatPr defaultRowHeight="15" x14ac:dyDescent="0.25"/>
  <cols>
    <col min="1" max="1" width="5.28515625" bestFit="1" customWidth="1"/>
    <col min="2" max="2" width="10.7109375" bestFit="1" customWidth="1"/>
    <col min="3" max="3" width="10.5703125" customWidth="1"/>
    <col min="4" max="4" width="10.5703125" bestFit="1" customWidth="1"/>
    <col min="5" max="5" width="9.5703125" bestFit="1" customWidth="1"/>
    <col min="6" max="6" width="10.5703125" bestFit="1" customWidth="1"/>
    <col min="7" max="7" width="12.5703125" bestFit="1" customWidth="1"/>
    <col min="8" max="9" width="10.5703125" bestFit="1" customWidth="1"/>
    <col min="10" max="10" width="11.28515625" bestFit="1" customWidth="1"/>
    <col min="11" max="12" width="10.5703125" bestFit="1" customWidth="1"/>
    <col min="14" max="14" width="13.28515625" bestFit="1" customWidth="1"/>
  </cols>
  <sheetData>
    <row r="2" spans="1:14" ht="15.75" thickBot="1" x14ac:dyDescent="0.3"/>
    <row r="3" spans="1:14" ht="22.5" x14ac:dyDescent="0.25">
      <c r="A3" s="81" t="s">
        <v>62</v>
      </c>
      <c r="B3" s="82" t="s">
        <v>63</v>
      </c>
      <c r="C3" s="82" t="s">
        <v>64</v>
      </c>
      <c r="D3" s="82" t="s">
        <v>65</v>
      </c>
      <c r="E3" s="83" t="s">
        <v>116</v>
      </c>
      <c r="F3" s="82" t="s">
        <v>66</v>
      </c>
      <c r="G3" s="83" t="s">
        <v>67</v>
      </c>
      <c r="H3" s="83" t="s">
        <v>68</v>
      </c>
      <c r="I3" s="82" t="s">
        <v>69</v>
      </c>
      <c r="J3" s="82" t="s">
        <v>70</v>
      </c>
      <c r="K3" s="82" t="s">
        <v>71</v>
      </c>
      <c r="L3" s="84" t="s">
        <v>70</v>
      </c>
    </row>
    <row r="4" spans="1:14" x14ac:dyDescent="0.25">
      <c r="A4" s="156">
        <v>1</v>
      </c>
      <c r="B4" s="161">
        <v>45848</v>
      </c>
      <c r="C4" s="157"/>
      <c r="D4" s="157"/>
      <c r="E4" s="158"/>
      <c r="F4" s="157"/>
      <c r="G4" s="217">
        <v>150000</v>
      </c>
      <c r="H4" s="158"/>
      <c r="I4" s="157"/>
      <c r="J4" s="157"/>
      <c r="K4" s="157"/>
      <c r="L4" s="159"/>
    </row>
    <row r="5" spans="1:14" x14ac:dyDescent="0.25">
      <c r="A5" s="156">
        <v>2</v>
      </c>
      <c r="B5" s="161">
        <v>45873</v>
      </c>
      <c r="C5" s="157"/>
      <c r="D5" s="157"/>
      <c r="E5" s="158"/>
      <c r="F5" s="157"/>
      <c r="G5" s="217">
        <v>200000</v>
      </c>
      <c r="H5" s="158"/>
      <c r="I5" s="157"/>
      <c r="J5" s="157"/>
      <c r="K5" s="157"/>
      <c r="L5" s="159"/>
    </row>
    <row r="6" spans="1:14" x14ac:dyDescent="0.25">
      <c r="A6" s="85"/>
      <c r="B6" s="86"/>
      <c r="C6" s="317" t="s">
        <v>115</v>
      </c>
      <c r="D6" s="87"/>
      <c r="E6" s="88"/>
      <c r="F6" s="87"/>
      <c r="G6" s="154"/>
      <c r="H6" s="87"/>
      <c r="I6" s="87"/>
      <c r="J6" s="87"/>
      <c r="K6" s="87"/>
      <c r="L6" s="128"/>
    </row>
    <row r="7" spans="1:14" ht="18" customHeight="1" x14ac:dyDescent="0.25">
      <c r="A7" s="85"/>
      <c r="B7" s="89"/>
      <c r="C7" s="317"/>
      <c r="D7" s="318">
        <f>'[1]Balance sheet'!$D$7:$D$8</f>
        <v>650000</v>
      </c>
      <c r="E7" s="320">
        <f>D7*3%</f>
        <v>19500</v>
      </c>
      <c r="F7" s="322">
        <f>D7-E7</f>
        <v>630500</v>
      </c>
      <c r="G7" s="324"/>
      <c r="H7" s="325">
        <f>D7*1%</f>
        <v>6500</v>
      </c>
      <c r="I7" s="327"/>
      <c r="J7" s="327"/>
      <c r="K7" s="329">
        <f>D7*18%</f>
        <v>117000</v>
      </c>
      <c r="L7" s="314"/>
    </row>
    <row r="8" spans="1:14" ht="17.25" customHeight="1" x14ac:dyDescent="0.25">
      <c r="A8" s="85"/>
      <c r="B8" s="89"/>
      <c r="C8" s="317"/>
      <c r="D8" s="319"/>
      <c r="E8" s="321"/>
      <c r="F8" s="323"/>
      <c r="G8" s="323"/>
      <c r="H8" s="326"/>
      <c r="I8" s="328"/>
      <c r="J8" s="328"/>
      <c r="K8" s="330"/>
      <c r="L8" s="315"/>
    </row>
    <row r="9" spans="1:14" x14ac:dyDescent="0.25">
      <c r="A9" s="85"/>
      <c r="B9" s="331" t="s">
        <v>47</v>
      </c>
      <c r="C9" s="331"/>
      <c r="D9" s="126">
        <f>SUM(D4:D8)</f>
        <v>650000</v>
      </c>
      <c r="E9" s="126">
        <f t="shared" ref="E9:F9" si="0">SUM(E4:E8)</f>
        <v>19500</v>
      </c>
      <c r="F9" s="126">
        <f t="shared" si="0"/>
        <v>630500</v>
      </c>
      <c r="G9" s="167">
        <f>SUM(G4:G8)</f>
        <v>350000</v>
      </c>
      <c r="H9" s="90">
        <f>SUM(H4:H8)</f>
        <v>6500</v>
      </c>
      <c r="I9" s="127">
        <f>G9+H9</f>
        <v>356500</v>
      </c>
      <c r="J9" s="91">
        <f>F9-I9</f>
        <v>274000</v>
      </c>
      <c r="K9" s="130">
        <f>SUM(K6:K8)</f>
        <v>117000</v>
      </c>
      <c r="L9" s="129">
        <f>J9+K9</f>
        <v>391000</v>
      </c>
    </row>
    <row r="10" spans="1:14" x14ac:dyDescent="0.25">
      <c r="A10" s="38">
        <v>3</v>
      </c>
      <c r="B10" s="161">
        <v>45889</v>
      </c>
      <c r="C10" s="157"/>
      <c r="D10" s="157"/>
      <c r="E10" s="158"/>
      <c r="F10" s="157"/>
      <c r="G10" s="217">
        <v>394250</v>
      </c>
      <c r="H10" s="158"/>
      <c r="I10" s="157"/>
      <c r="J10" s="157"/>
      <c r="K10" s="157"/>
      <c r="L10" s="159"/>
    </row>
    <row r="11" spans="1:14" ht="17.25" customHeight="1" x14ac:dyDescent="0.25">
      <c r="A11" s="73"/>
      <c r="B11" s="86"/>
      <c r="C11" s="317" t="s">
        <v>114</v>
      </c>
      <c r="D11" s="87"/>
      <c r="E11" s="88"/>
      <c r="F11" s="87"/>
      <c r="G11" s="154"/>
      <c r="H11" s="87"/>
      <c r="I11" s="87"/>
      <c r="J11" s="87"/>
      <c r="K11" s="87"/>
      <c r="L11" s="128"/>
    </row>
    <row r="12" spans="1:14" ht="15" customHeight="1" x14ac:dyDescent="0.25">
      <c r="A12" s="73"/>
      <c r="B12" s="89"/>
      <c r="C12" s="317"/>
      <c r="D12" s="318">
        <f>[2]Sheet1!$C$28</f>
        <v>340000</v>
      </c>
      <c r="E12" s="320">
        <f>D12*3%</f>
        <v>10200</v>
      </c>
      <c r="F12" s="322">
        <f>D12-E12</f>
        <v>329800</v>
      </c>
      <c r="G12" s="324"/>
      <c r="H12" s="325">
        <f>D12*1%</f>
        <v>3400</v>
      </c>
      <c r="I12" s="327"/>
      <c r="J12" s="327"/>
      <c r="K12" s="329">
        <f>D12*18%</f>
        <v>61200</v>
      </c>
      <c r="L12" s="314"/>
    </row>
    <row r="13" spans="1:14" ht="18.75" customHeight="1" x14ac:dyDescent="0.25">
      <c r="A13" s="73"/>
      <c r="B13" s="89"/>
      <c r="C13" s="317"/>
      <c r="D13" s="319"/>
      <c r="E13" s="321"/>
      <c r="F13" s="323"/>
      <c r="G13" s="323"/>
      <c r="H13" s="326"/>
      <c r="I13" s="328"/>
      <c r="J13" s="328"/>
      <c r="K13" s="330"/>
      <c r="L13" s="315"/>
    </row>
    <row r="14" spans="1:14" x14ac:dyDescent="0.25">
      <c r="A14" s="85"/>
      <c r="B14" s="331" t="s">
        <v>47</v>
      </c>
      <c r="C14" s="331"/>
      <c r="D14" s="126">
        <f>SUM(D9:D13)</f>
        <v>990000</v>
      </c>
      <c r="E14" s="126">
        <f t="shared" ref="E14:F14" si="1">SUM(E9:E13)</f>
        <v>29700</v>
      </c>
      <c r="F14" s="126">
        <f t="shared" si="1"/>
        <v>960300</v>
      </c>
      <c r="G14" s="167">
        <f>SUM(G9:G13)</f>
        <v>744250</v>
      </c>
      <c r="H14" s="90">
        <f>SUM(H9:H13)</f>
        <v>9900</v>
      </c>
      <c r="I14" s="127">
        <f>G14+H14</f>
        <v>754150</v>
      </c>
      <c r="J14" s="91">
        <f>F14-I14</f>
        <v>206150</v>
      </c>
      <c r="K14" s="130">
        <f>SUM(K9:K13)</f>
        <v>178200</v>
      </c>
      <c r="L14" s="129">
        <f>J14+K14</f>
        <v>384350</v>
      </c>
    </row>
    <row r="15" spans="1:14" x14ac:dyDescent="0.25">
      <c r="A15" s="73"/>
      <c r="B15" s="86"/>
      <c r="C15" s="317" t="s">
        <v>113</v>
      </c>
      <c r="D15" s="87"/>
      <c r="E15" s="88"/>
      <c r="F15" s="87"/>
      <c r="G15" s="154"/>
      <c r="H15" s="87"/>
      <c r="I15" s="87"/>
      <c r="J15" s="87"/>
      <c r="K15" s="87"/>
      <c r="L15" s="128"/>
    </row>
    <row r="16" spans="1:14" ht="18.75" customHeight="1" x14ac:dyDescent="0.25">
      <c r="A16" s="73"/>
      <c r="B16" s="89"/>
      <c r="C16" s="317"/>
      <c r="D16" s="318">
        <f>[3]Sheet1!$C$27</f>
        <v>340000</v>
      </c>
      <c r="E16" s="320">
        <f>D16*3%</f>
        <v>10200</v>
      </c>
      <c r="F16" s="322">
        <f>D16-E16</f>
        <v>329800</v>
      </c>
      <c r="G16" s="324"/>
      <c r="H16" s="325">
        <f>D16*1%</f>
        <v>3400</v>
      </c>
      <c r="I16" s="327"/>
      <c r="J16" s="327"/>
      <c r="K16" s="329">
        <f>D16*18%</f>
        <v>61200</v>
      </c>
      <c r="L16" s="314"/>
      <c r="N16" s="35"/>
    </row>
    <row r="17" spans="1:14" ht="19.5" customHeight="1" x14ac:dyDescent="0.25">
      <c r="A17" s="73"/>
      <c r="B17" s="89"/>
      <c r="C17" s="317"/>
      <c r="D17" s="319"/>
      <c r="E17" s="321"/>
      <c r="F17" s="323"/>
      <c r="G17" s="323"/>
      <c r="H17" s="326"/>
      <c r="I17" s="328"/>
      <c r="J17" s="328"/>
      <c r="K17" s="330"/>
      <c r="L17" s="315"/>
    </row>
    <row r="18" spans="1:14" ht="19.5" customHeight="1" thickBot="1" x14ac:dyDescent="0.3">
      <c r="A18" s="168"/>
      <c r="B18" s="316" t="s">
        <v>47</v>
      </c>
      <c r="C18" s="316"/>
      <c r="D18" s="169">
        <f>SUM(D13:D17)</f>
        <v>1330000</v>
      </c>
      <c r="E18" s="169">
        <f t="shared" ref="E18" si="2">SUM(E13:E17)</f>
        <v>39900</v>
      </c>
      <c r="F18" s="169">
        <f>SUM(F14:F17)</f>
        <v>1290100</v>
      </c>
      <c r="G18" s="170">
        <f>SUM(G14:G17)</f>
        <v>744250</v>
      </c>
      <c r="H18" s="171">
        <f>SUM(H13:H17)</f>
        <v>13300</v>
      </c>
      <c r="I18" s="172">
        <f>G18+H18</f>
        <v>757550</v>
      </c>
      <c r="J18" s="173">
        <f>F18-I18</f>
        <v>532550</v>
      </c>
      <c r="K18" s="174">
        <f>SUM(K14:K17)</f>
        <v>239400</v>
      </c>
      <c r="L18" s="175">
        <f>J18+K18</f>
        <v>771950</v>
      </c>
      <c r="N18" s="35"/>
    </row>
    <row r="19" spans="1:14" ht="19.5" customHeight="1" x14ac:dyDescent="0.25">
      <c r="A19" s="210">
        <v>4</v>
      </c>
      <c r="B19" s="211" t="s">
        <v>109</v>
      </c>
      <c r="C19" s="211"/>
      <c r="D19" s="209"/>
      <c r="E19" s="209"/>
      <c r="F19" s="209" t="s">
        <v>110</v>
      </c>
      <c r="G19" s="215">
        <v>384350</v>
      </c>
      <c r="H19" s="207"/>
      <c r="I19" s="212"/>
      <c r="J19" s="213"/>
      <c r="K19" s="208"/>
      <c r="L19" s="214"/>
      <c r="N19" s="35"/>
    </row>
    <row r="20" spans="1:14" ht="18.75" customHeight="1" x14ac:dyDescent="0.25">
      <c r="A20" s="73"/>
      <c r="B20" s="86"/>
      <c r="C20" s="317" t="s">
        <v>112</v>
      </c>
      <c r="D20" s="87"/>
      <c r="E20" s="88"/>
      <c r="F20" s="87"/>
      <c r="G20" s="154"/>
      <c r="H20" s="87"/>
      <c r="I20" s="87"/>
      <c r="J20" s="87"/>
      <c r="K20" s="87"/>
      <c r="L20" s="128"/>
    </row>
    <row r="21" spans="1:14" ht="20.45" customHeight="1" x14ac:dyDescent="0.25">
      <c r="A21" s="73"/>
      <c r="B21" s="89"/>
      <c r="C21" s="317"/>
      <c r="D21" s="318">
        <f>[4]Sheet1!$C$27</f>
        <v>340000</v>
      </c>
      <c r="E21" s="320">
        <f>D21*3%</f>
        <v>10200</v>
      </c>
      <c r="F21" s="322">
        <f>D21-E21</f>
        <v>329800</v>
      </c>
      <c r="G21" s="324"/>
      <c r="H21" s="325">
        <f>D21*1%</f>
        <v>3400</v>
      </c>
      <c r="I21" s="327"/>
      <c r="J21" s="327"/>
      <c r="K21" s="329">
        <f>D21*18%</f>
        <v>61200</v>
      </c>
      <c r="L21" s="314"/>
    </row>
    <row r="22" spans="1:14" ht="18.600000000000001" customHeight="1" x14ac:dyDescent="0.25">
      <c r="A22" s="73"/>
      <c r="B22" s="89"/>
      <c r="C22" s="317"/>
      <c r="D22" s="319"/>
      <c r="E22" s="321"/>
      <c r="F22" s="323"/>
      <c r="G22" s="323"/>
      <c r="H22" s="326"/>
      <c r="I22" s="328"/>
      <c r="J22" s="328"/>
      <c r="K22" s="330"/>
      <c r="L22" s="315"/>
    </row>
    <row r="23" spans="1:14" ht="15.75" thickBot="1" x14ac:dyDescent="0.3">
      <c r="A23" s="168"/>
      <c r="B23" s="316" t="s">
        <v>47</v>
      </c>
      <c r="C23" s="316"/>
      <c r="D23" s="169">
        <f>SUM(D18:D22)</f>
        <v>1670000</v>
      </c>
      <c r="E23" s="169">
        <f>SUM(E18:E22)</f>
        <v>50100</v>
      </c>
      <c r="F23" s="169">
        <f>SUM(F18:F22)</f>
        <v>1619900</v>
      </c>
      <c r="G23" s="170">
        <f>SUM(G18:G22)</f>
        <v>1128600</v>
      </c>
      <c r="H23" s="171">
        <f>SUM(H17:H22)</f>
        <v>16700</v>
      </c>
      <c r="I23" s="172">
        <f>G23+H23</f>
        <v>1145300</v>
      </c>
      <c r="J23" s="173">
        <f>F23-I23</f>
        <v>474600</v>
      </c>
      <c r="K23" s="174">
        <f>SUM(K18:K22)</f>
        <v>300600</v>
      </c>
      <c r="L23" s="175">
        <f>J23+K23</f>
        <v>775200</v>
      </c>
    </row>
    <row r="24" spans="1:14" x14ac:dyDescent="0.25">
      <c r="A24" s="210">
        <v>5</v>
      </c>
      <c r="B24" s="211" t="s">
        <v>123</v>
      </c>
      <c r="C24" s="211"/>
      <c r="D24" s="209"/>
      <c r="E24" s="209"/>
      <c r="F24" s="209" t="s">
        <v>110</v>
      </c>
      <c r="G24" s="215">
        <v>387600</v>
      </c>
      <c r="H24" s="207"/>
      <c r="I24" s="212"/>
      <c r="J24" s="213"/>
      <c r="K24" s="208"/>
      <c r="L24" s="214"/>
    </row>
    <row r="25" spans="1:14" x14ac:dyDescent="0.25">
      <c r="A25" s="73"/>
      <c r="B25" s="86"/>
      <c r="C25" s="317" t="s">
        <v>117</v>
      </c>
      <c r="D25" s="87"/>
      <c r="E25" s="88"/>
      <c r="F25" s="87"/>
      <c r="G25" s="154"/>
      <c r="H25" s="87"/>
      <c r="I25" s="87"/>
      <c r="J25" s="87"/>
      <c r="K25" s="87"/>
      <c r="L25" s="128"/>
    </row>
    <row r="26" spans="1:14" s="121" customFormat="1" x14ac:dyDescent="0.25">
      <c r="A26" s="73"/>
      <c r="B26" s="89"/>
      <c r="C26" s="317"/>
      <c r="D26" s="318">
        <f>[5]Sheet1!$C$27</f>
        <v>340000</v>
      </c>
      <c r="E26" s="320">
        <f>D26*3%</f>
        <v>10200</v>
      </c>
      <c r="F26" s="322">
        <f>D26-E26</f>
        <v>329800</v>
      </c>
      <c r="G26" s="324"/>
      <c r="H26" s="325">
        <f>D26*1%</f>
        <v>3400</v>
      </c>
      <c r="I26" s="327"/>
      <c r="J26" s="327"/>
      <c r="K26" s="329">
        <f>D26*18%</f>
        <v>61200</v>
      </c>
      <c r="L26" s="314"/>
    </row>
    <row r="27" spans="1:14" s="121" customFormat="1" ht="25.5" customHeight="1" x14ac:dyDescent="0.25">
      <c r="A27" s="73"/>
      <c r="B27" s="89"/>
      <c r="C27" s="317"/>
      <c r="D27" s="319"/>
      <c r="E27" s="321"/>
      <c r="F27" s="323"/>
      <c r="G27" s="323"/>
      <c r="H27" s="326"/>
      <c r="I27" s="328"/>
      <c r="J27" s="328"/>
      <c r="K27" s="330"/>
      <c r="L27" s="315"/>
    </row>
    <row r="28" spans="1:14" s="121" customFormat="1" ht="18" customHeight="1" thickBot="1" x14ac:dyDescent="0.25">
      <c r="A28" s="168"/>
      <c r="B28" s="316" t="s">
        <v>47</v>
      </c>
      <c r="C28" s="316"/>
      <c r="D28" s="169">
        <f>SUM(D23:D27)</f>
        <v>2010000</v>
      </c>
      <c r="E28" s="169">
        <f>SUM(E23:E27)</f>
        <v>60300</v>
      </c>
      <c r="F28" s="169">
        <f>SUM(F23:F27)</f>
        <v>1949700</v>
      </c>
      <c r="G28" s="170">
        <f>SUM(G23:G27)</f>
        <v>1516200</v>
      </c>
      <c r="H28" s="171">
        <f>SUM(H22:H27)</f>
        <v>20100</v>
      </c>
      <c r="I28" s="172">
        <f>G28+H28</f>
        <v>1536300</v>
      </c>
      <c r="J28" s="173">
        <f>F28-I28</f>
        <v>413400</v>
      </c>
      <c r="K28" s="174">
        <f>SUM(K23:K27)</f>
        <v>361800</v>
      </c>
      <c r="L28" s="175">
        <f>J28+K28</f>
        <v>775200</v>
      </c>
    </row>
    <row r="29" spans="1:14" s="121" customFormat="1" ht="19.5" customHeight="1" x14ac:dyDescent="0.2">
      <c r="A29" s="210">
        <v>6</v>
      </c>
      <c r="B29" s="216">
        <v>45818</v>
      </c>
      <c r="C29" s="211"/>
      <c r="D29" s="209"/>
      <c r="E29" s="209"/>
      <c r="F29" s="209" t="s">
        <v>110</v>
      </c>
      <c r="G29" s="215">
        <v>387600</v>
      </c>
      <c r="H29" s="207"/>
      <c r="I29" s="212"/>
      <c r="J29" s="213"/>
      <c r="K29" s="208"/>
      <c r="L29" s="214"/>
    </row>
    <row r="30" spans="1:14" s="121" customFormat="1" ht="19.5" customHeight="1" x14ac:dyDescent="0.25">
      <c r="A30" s="73"/>
      <c r="B30" s="86"/>
      <c r="C30" s="317" t="s">
        <v>118</v>
      </c>
      <c r="D30" s="87"/>
      <c r="E30" s="88"/>
      <c r="F30" s="87"/>
      <c r="G30" s="154"/>
      <c r="H30" s="87"/>
      <c r="I30" s="87"/>
      <c r="J30" s="87"/>
      <c r="K30" s="87"/>
      <c r="L30" s="128"/>
    </row>
    <row r="31" spans="1:14" ht="18.75" customHeight="1" x14ac:dyDescent="0.25">
      <c r="A31" s="73"/>
      <c r="B31" s="89"/>
      <c r="C31" s="317"/>
      <c r="D31" s="318">
        <f>[6]Sheet1!$C$27</f>
        <v>340000</v>
      </c>
      <c r="E31" s="320">
        <f>D31*3%</f>
        <v>10200</v>
      </c>
      <c r="F31" s="322">
        <f>D31-E31</f>
        <v>329800</v>
      </c>
      <c r="G31" s="324"/>
      <c r="H31" s="325">
        <f>D31*1%</f>
        <v>3400</v>
      </c>
      <c r="I31" s="327"/>
      <c r="J31" s="327"/>
      <c r="K31" s="329">
        <f>D31*18%</f>
        <v>61200</v>
      </c>
      <c r="L31" s="314"/>
    </row>
    <row r="32" spans="1:14" ht="18.75" customHeight="1" x14ac:dyDescent="0.25">
      <c r="A32" s="73"/>
      <c r="B32" s="89"/>
      <c r="C32" s="317"/>
      <c r="D32" s="319"/>
      <c r="E32" s="321"/>
      <c r="F32" s="323"/>
      <c r="G32" s="323"/>
      <c r="H32" s="326"/>
      <c r="I32" s="328"/>
      <c r="J32" s="328"/>
      <c r="K32" s="330"/>
      <c r="L32" s="315"/>
    </row>
    <row r="33" spans="1:14" ht="21" customHeight="1" thickBot="1" x14ac:dyDescent="0.3">
      <c r="A33" s="168"/>
      <c r="B33" s="316" t="s">
        <v>47</v>
      </c>
      <c r="C33" s="316"/>
      <c r="D33" s="169">
        <f>SUM(D28:D32)</f>
        <v>2350000</v>
      </c>
      <c r="E33" s="169">
        <f>SUM(E28:E32)</f>
        <v>70500</v>
      </c>
      <c r="F33" s="169">
        <f>SUM(F28:F32)</f>
        <v>2279500</v>
      </c>
      <c r="G33" s="170">
        <f>SUM(G28:G32)</f>
        <v>1903800</v>
      </c>
      <c r="H33" s="171">
        <f>SUM(H27:H32)</f>
        <v>23500</v>
      </c>
      <c r="I33" s="172">
        <f>G33+H33</f>
        <v>1927300</v>
      </c>
      <c r="J33" s="173">
        <f>F33-I33</f>
        <v>352200</v>
      </c>
      <c r="K33" s="174">
        <f>SUM(K28:K32)</f>
        <v>423000</v>
      </c>
      <c r="L33" s="175">
        <f>J33+K33</f>
        <v>775200</v>
      </c>
    </row>
    <row r="34" spans="1:14" s="121" customFormat="1" ht="19.5" customHeight="1" x14ac:dyDescent="0.2">
      <c r="A34" s="210">
        <v>7</v>
      </c>
      <c r="B34" s="216" t="s">
        <v>124</v>
      </c>
      <c r="C34" s="211"/>
      <c r="D34" s="209"/>
      <c r="E34" s="209"/>
      <c r="F34" s="209" t="s">
        <v>110</v>
      </c>
      <c r="G34" s="215">
        <v>387600</v>
      </c>
      <c r="H34" s="207"/>
      <c r="I34" s="212"/>
      <c r="J34" s="213"/>
      <c r="K34" s="208"/>
      <c r="L34" s="214"/>
    </row>
    <row r="35" spans="1:14" s="121" customFormat="1" ht="19.5" customHeight="1" x14ac:dyDescent="0.25">
      <c r="A35" s="73"/>
      <c r="B35" s="86"/>
      <c r="C35" s="317" t="s">
        <v>119</v>
      </c>
      <c r="D35" s="87"/>
      <c r="E35" s="88"/>
      <c r="F35" s="87"/>
      <c r="G35" s="154"/>
      <c r="H35" s="87"/>
      <c r="I35" s="87"/>
      <c r="J35" s="87"/>
      <c r="K35" s="87"/>
      <c r="L35" s="128"/>
    </row>
    <row r="36" spans="1:14" ht="18.75" customHeight="1" x14ac:dyDescent="0.25">
      <c r="A36" s="73"/>
      <c r="B36" s="89"/>
      <c r="C36" s="317"/>
      <c r="D36" s="318">
        <f>[7]Sheet1!$C$28</f>
        <v>340000</v>
      </c>
      <c r="E36" s="320">
        <f>D36*3%</f>
        <v>10200</v>
      </c>
      <c r="F36" s="322">
        <f>D36-E36</f>
        <v>329800</v>
      </c>
      <c r="G36" s="324"/>
      <c r="H36" s="325">
        <f>D36*1%</f>
        <v>3400</v>
      </c>
      <c r="I36" s="327"/>
      <c r="J36" s="327"/>
      <c r="K36" s="329">
        <f>D36*18%</f>
        <v>61200</v>
      </c>
      <c r="L36" s="314"/>
      <c r="N36" s="35"/>
    </row>
    <row r="37" spans="1:14" ht="18.75" customHeight="1" x14ac:dyDescent="0.25">
      <c r="A37" s="73"/>
      <c r="B37" s="89"/>
      <c r="C37" s="317"/>
      <c r="D37" s="319"/>
      <c r="E37" s="321"/>
      <c r="F37" s="323"/>
      <c r="G37" s="323"/>
      <c r="H37" s="326"/>
      <c r="I37" s="328"/>
      <c r="J37" s="328"/>
      <c r="K37" s="330"/>
      <c r="L37" s="315"/>
      <c r="N37" s="35"/>
    </row>
    <row r="38" spans="1:14" ht="21" customHeight="1" thickBot="1" x14ac:dyDescent="0.3">
      <c r="A38" s="168"/>
      <c r="B38" s="316" t="s">
        <v>47</v>
      </c>
      <c r="C38" s="316"/>
      <c r="D38" s="169">
        <f>SUM(D33:D37)</f>
        <v>2690000</v>
      </c>
      <c r="E38" s="169">
        <f>SUM(E33:E37)</f>
        <v>80700</v>
      </c>
      <c r="F38" s="169">
        <f>SUM(F33:F37)</f>
        <v>2609300</v>
      </c>
      <c r="G38" s="170">
        <f>SUM(G33:G37)</f>
        <v>2291400</v>
      </c>
      <c r="H38" s="171">
        <f>SUM(H33:H37)</f>
        <v>26900</v>
      </c>
      <c r="I38" s="172">
        <f>G38+H38</f>
        <v>2318300</v>
      </c>
      <c r="J38" s="173">
        <f>F38-I38</f>
        <v>291000</v>
      </c>
      <c r="K38" s="174">
        <f>SUM(K33:K37)</f>
        <v>484200</v>
      </c>
      <c r="L38" s="175">
        <f>J38+K38</f>
        <v>775200</v>
      </c>
    </row>
    <row r="39" spans="1:14" x14ac:dyDescent="0.25">
      <c r="A39" s="210">
        <v>8</v>
      </c>
      <c r="B39" s="216" t="s">
        <v>125</v>
      </c>
      <c r="C39" s="211"/>
      <c r="D39" s="209"/>
      <c r="E39" s="209"/>
      <c r="F39" s="209" t="s">
        <v>110</v>
      </c>
      <c r="G39" s="215">
        <v>397800</v>
      </c>
      <c r="H39" s="207"/>
      <c r="I39" s="212"/>
      <c r="J39" s="213"/>
      <c r="K39" s="208"/>
      <c r="L39" s="214"/>
    </row>
    <row r="40" spans="1:14" x14ac:dyDescent="0.25">
      <c r="A40" s="73"/>
      <c r="B40" s="86"/>
      <c r="C40" s="317" t="s">
        <v>120</v>
      </c>
      <c r="D40" s="87"/>
      <c r="E40" s="88"/>
      <c r="F40" s="87"/>
      <c r="G40" s="154"/>
      <c r="H40" s="87"/>
      <c r="I40" s="87"/>
      <c r="J40" s="87"/>
      <c r="K40" s="87"/>
      <c r="L40" s="128"/>
    </row>
    <row r="41" spans="1:14" ht="18.75" customHeight="1" x14ac:dyDescent="0.25">
      <c r="A41" s="73"/>
      <c r="B41" s="89"/>
      <c r="C41" s="317"/>
      <c r="D41" s="318">
        <f>[8]Sheet1!$C$28</f>
        <v>340000</v>
      </c>
      <c r="E41" s="320">
        <f>D41*3%</f>
        <v>10200</v>
      </c>
      <c r="F41" s="322">
        <f>D41-E41</f>
        <v>329800</v>
      </c>
      <c r="G41" s="324"/>
      <c r="H41" s="325">
        <f>D41*1%</f>
        <v>3400</v>
      </c>
      <c r="I41" s="327"/>
      <c r="J41" s="327"/>
      <c r="K41" s="329">
        <f>D41*18%</f>
        <v>61200</v>
      </c>
      <c r="L41" s="314"/>
    </row>
    <row r="42" spans="1:14" ht="18.75" customHeight="1" x14ac:dyDescent="0.25">
      <c r="A42" s="73"/>
      <c r="B42" s="89"/>
      <c r="C42" s="317"/>
      <c r="D42" s="319"/>
      <c r="E42" s="321"/>
      <c r="F42" s="323"/>
      <c r="G42" s="323"/>
      <c r="H42" s="326"/>
      <c r="I42" s="328"/>
      <c r="J42" s="328"/>
      <c r="K42" s="330"/>
      <c r="L42" s="315"/>
    </row>
    <row r="43" spans="1:14" ht="18.75" customHeight="1" thickBot="1" x14ac:dyDescent="0.3">
      <c r="A43" s="168"/>
      <c r="B43" s="316" t="s">
        <v>47</v>
      </c>
      <c r="C43" s="316"/>
      <c r="D43" s="169">
        <f>SUM(D38:D42)</f>
        <v>3030000</v>
      </c>
      <c r="E43" s="169">
        <f>SUM(E38:E42)</f>
        <v>90900</v>
      </c>
      <c r="F43" s="169">
        <f>SUM(F38:F42)</f>
        <v>2939100</v>
      </c>
      <c r="G43" s="170">
        <f>SUM(G38:G42)</f>
        <v>2689200</v>
      </c>
      <c r="H43" s="171">
        <f>SUM(H38:H42)</f>
        <v>30300</v>
      </c>
      <c r="I43" s="172">
        <f>G43+H43</f>
        <v>2719500</v>
      </c>
      <c r="J43" s="173">
        <f>F43-I43</f>
        <v>219600</v>
      </c>
      <c r="K43" s="174">
        <f>SUM(K38:K42)</f>
        <v>545400</v>
      </c>
      <c r="L43" s="175">
        <f>J43+K43</f>
        <v>765000</v>
      </c>
    </row>
    <row r="44" spans="1:14" x14ac:dyDescent="0.25">
      <c r="A44" s="210">
        <v>9</v>
      </c>
      <c r="B44" s="216" t="s">
        <v>126</v>
      </c>
      <c r="C44" s="211"/>
      <c r="D44" s="209"/>
      <c r="E44" s="209"/>
      <c r="F44" s="209" t="s">
        <v>110</v>
      </c>
      <c r="G44" s="215">
        <v>377400</v>
      </c>
      <c r="H44" s="207"/>
      <c r="I44" s="212"/>
      <c r="J44" s="213"/>
      <c r="K44" s="208"/>
      <c r="L44" s="214"/>
    </row>
    <row r="45" spans="1:14" x14ac:dyDescent="0.25">
      <c r="A45" s="73"/>
      <c r="B45" s="86"/>
      <c r="C45" s="317" t="s">
        <v>121</v>
      </c>
      <c r="D45" s="87"/>
      <c r="E45" s="88"/>
      <c r="F45" s="87"/>
      <c r="G45" s="154"/>
      <c r="H45" s="87"/>
      <c r="I45" s="87"/>
      <c r="J45" s="87"/>
      <c r="K45" s="87"/>
      <c r="L45" s="128"/>
    </row>
    <row r="46" spans="1:14" ht="18.75" customHeight="1" x14ac:dyDescent="0.25">
      <c r="A46" s="73"/>
      <c r="B46" s="89"/>
      <c r="C46" s="317"/>
      <c r="D46" s="318">
        <f>[9]Sheet1!$C$28</f>
        <v>340000</v>
      </c>
      <c r="E46" s="320">
        <f>D46*3%</f>
        <v>10200</v>
      </c>
      <c r="F46" s="322">
        <f>D46-E46</f>
        <v>329800</v>
      </c>
      <c r="G46" s="324"/>
      <c r="H46" s="325">
        <f>D46*1%</f>
        <v>3400</v>
      </c>
      <c r="I46" s="327"/>
      <c r="J46" s="327"/>
      <c r="K46" s="329">
        <f>D46*18%</f>
        <v>61200</v>
      </c>
      <c r="L46" s="314"/>
    </row>
    <row r="47" spans="1:14" ht="18" customHeight="1" x14ac:dyDescent="0.25">
      <c r="A47" s="73"/>
      <c r="B47" s="89"/>
      <c r="C47" s="317"/>
      <c r="D47" s="319"/>
      <c r="E47" s="321"/>
      <c r="F47" s="323"/>
      <c r="G47" s="323"/>
      <c r="H47" s="326"/>
      <c r="I47" s="328"/>
      <c r="J47" s="328"/>
      <c r="K47" s="330"/>
      <c r="L47" s="315"/>
    </row>
    <row r="48" spans="1:14" ht="19.5" customHeight="1" thickBot="1" x14ac:dyDescent="0.3">
      <c r="A48" s="168"/>
      <c r="B48" s="316" t="s">
        <v>47</v>
      </c>
      <c r="C48" s="316"/>
      <c r="D48" s="169">
        <f>SUM(D43:D47)</f>
        <v>3370000</v>
      </c>
      <c r="E48" s="169">
        <f>SUM(E43:E47)</f>
        <v>101100</v>
      </c>
      <c r="F48" s="169">
        <f>SUM(F43:F47)</f>
        <v>3268900</v>
      </c>
      <c r="G48" s="170">
        <f>SUM(G43:G47)</f>
        <v>3066600</v>
      </c>
      <c r="H48" s="171">
        <f>SUM(H43:H47)</f>
        <v>33700</v>
      </c>
      <c r="I48" s="172">
        <f>G48+H48</f>
        <v>3100300</v>
      </c>
      <c r="J48" s="173">
        <f>F48-I48</f>
        <v>168600</v>
      </c>
      <c r="K48" s="174">
        <f>SUM(K43:K47)</f>
        <v>606600</v>
      </c>
      <c r="L48" s="175">
        <f>J48+K48</f>
        <v>775200</v>
      </c>
    </row>
    <row r="49" spans="1:12" x14ac:dyDescent="0.25">
      <c r="A49" s="210">
        <v>10</v>
      </c>
      <c r="B49" s="216">
        <v>45912</v>
      </c>
      <c r="C49" s="211"/>
      <c r="D49" s="209"/>
      <c r="E49" s="209"/>
      <c r="F49" s="209" t="s">
        <v>110</v>
      </c>
      <c r="G49" s="215">
        <v>387600</v>
      </c>
      <c r="H49" s="207"/>
      <c r="I49" s="212"/>
      <c r="J49" s="213"/>
      <c r="K49" s="208"/>
      <c r="L49" s="214"/>
    </row>
    <row r="50" spans="1:12" x14ac:dyDescent="0.25">
      <c r="A50" s="73"/>
      <c r="B50" s="86"/>
      <c r="C50" s="317" t="s">
        <v>122</v>
      </c>
      <c r="D50" s="87"/>
      <c r="E50" s="88"/>
      <c r="F50" s="87"/>
      <c r="G50" s="154"/>
      <c r="H50" s="87"/>
      <c r="I50" s="87"/>
      <c r="J50" s="87"/>
      <c r="K50" s="87"/>
      <c r="L50" s="128"/>
    </row>
    <row r="51" spans="1:12" ht="18.75" customHeight="1" x14ac:dyDescent="0.25">
      <c r="A51" s="73"/>
      <c r="B51" s="89"/>
      <c r="C51" s="317"/>
      <c r="D51" s="318">
        <f>[10]Sheet1!$C$28</f>
        <v>340000</v>
      </c>
      <c r="E51" s="320">
        <f>D51*3%</f>
        <v>10200</v>
      </c>
      <c r="F51" s="322">
        <f>D51-E51</f>
        <v>329800</v>
      </c>
      <c r="G51" s="324"/>
      <c r="H51" s="325">
        <f>D51*1%</f>
        <v>3400</v>
      </c>
      <c r="I51" s="327"/>
      <c r="J51" s="327"/>
      <c r="K51" s="329">
        <f>D51*18%</f>
        <v>61200</v>
      </c>
      <c r="L51" s="314"/>
    </row>
    <row r="52" spans="1:12" ht="18" customHeight="1" x14ac:dyDescent="0.25">
      <c r="A52" s="73"/>
      <c r="B52" s="89"/>
      <c r="C52" s="317"/>
      <c r="D52" s="319"/>
      <c r="E52" s="321"/>
      <c r="F52" s="323"/>
      <c r="G52" s="323"/>
      <c r="H52" s="326"/>
      <c r="I52" s="328"/>
      <c r="J52" s="328"/>
      <c r="K52" s="330"/>
      <c r="L52" s="315"/>
    </row>
    <row r="53" spans="1:12" ht="19.5" customHeight="1" thickBot="1" x14ac:dyDescent="0.3">
      <c r="A53" s="168"/>
      <c r="B53" s="316" t="s">
        <v>47</v>
      </c>
      <c r="C53" s="316"/>
      <c r="D53" s="169">
        <f>SUM(D48:D52)</f>
        <v>3710000</v>
      </c>
      <c r="E53" s="169">
        <f>SUM(E48:E52)</f>
        <v>111300</v>
      </c>
      <c r="F53" s="169">
        <f>SUM(F48:F52)</f>
        <v>3598700</v>
      </c>
      <c r="G53" s="170">
        <f>SUM(G48:G52)</f>
        <v>3454200</v>
      </c>
      <c r="H53" s="171">
        <f>SUM(H48:H52)</f>
        <v>37100</v>
      </c>
      <c r="I53" s="172">
        <f>G53+H53</f>
        <v>3491300</v>
      </c>
      <c r="J53" s="173">
        <f>F53-I53</f>
        <v>107400</v>
      </c>
      <c r="K53" s="174">
        <f>SUM(K48:K52)</f>
        <v>667800</v>
      </c>
      <c r="L53" s="175">
        <f>J53+K53</f>
        <v>775200</v>
      </c>
    </row>
    <row r="54" spans="1:12" ht="19.5" customHeight="1" x14ac:dyDescent="0.25">
      <c r="A54" s="210">
        <v>11</v>
      </c>
      <c r="B54" s="216" t="s">
        <v>127</v>
      </c>
      <c r="C54" s="211"/>
      <c r="D54" s="209"/>
      <c r="E54" s="209"/>
      <c r="F54" s="209" t="s">
        <v>110</v>
      </c>
      <c r="G54" s="215">
        <v>387600</v>
      </c>
      <c r="H54" s="207"/>
      <c r="I54" s="212"/>
      <c r="J54" s="213"/>
      <c r="K54" s="208"/>
      <c r="L54" s="214"/>
    </row>
    <row r="55" spans="1:12" x14ac:dyDescent="0.25">
      <c r="A55" s="73"/>
      <c r="B55" s="86"/>
      <c r="C55" s="317" t="s">
        <v>128</v>
      </c>
      <c r="D55" s="87"/>
      <c r="E55" s="88"/>
      <c r="F55" s="87"/>
      <c r="G55" s="154"/>
      <c r="H55" s="87"/>
      <c r="I55" s="87"/>
      <c r="J55" s="87"/>
      <c r="K55" s="87"/>
      <c r="L55" s="128"/>
    </row>
    <row r="56" spans="1:12" x14ac:dyDescent="0.25">
      <c r="A56" s="73"/>
      <c r="B56" s="89"/>
      <c r="C56" s="317"/>
      <c r="D56" s="318">
        <f>[11]Sheet1!$C$28</f>
        <v>340000</v>
      </c>
      <c r="E56" s="320">
        <f>D56*3%</f>
        <v>10200</v>
      </c>
      <c r="F56" s="322">
        <f>D56-E56</f>
        <v>329800</v>
      </c>
      <c r="G56" s="324"/>
      <c r="H56" s="325">
        <f>D56*1%</f>
        <v>3400</v>
      </c>
      <c r="I56" s="327"/>
      <c r="J56" s="327"/>
      <c r="K56" s="329">
        <f>D56*18%</f>
        <v>61200</v>
      </c>
      <c r="L56" s="314"/>
    </row>
    <row r="57" spans="1:12" ht="18.75" customHeight="1" x14ac:dyDescent="0.25">
      <c r="A57" s="73"/>
      <c r="B57" s="89"/>
      <c r="C57" s="317"/>
      <c r="D57" s="319"/>
      <c r="E57" s="321"/>
      <c r="F57" s="323"/>
      <c r="G57" s="323"/>
      <c r="H57" s="326"/>
      <c r="I57" s="328"/>
      <c r="J57" s="328"/>
      <c r="K57" s="330"/>
      <c r="L57" s="315"/>
    </row>
    <row r="58" spans="1:12" ht="18" customHeight="1" thickBot="1" x14ac:dyDescent="0.3">
      <c r="A58" s="168"/>
      <c r="B58" s="316" t="s">
        <v>47</v>
      </c>
      <c r="C58" s="316"/>
      <c r="D58" s="169">
        <f>SUM(D53:D57)</f>
        <v>4050000</v>
      </c>
      <c r="E58" s="169">
        <f>SUM(E53:E57)</f>
        <v>121500</v>
      </c>
      <c r="F58" s="169">
        <f>SUM(F53:F57)</f>
        <v>3928500</v>
      </c>
      <c r="G58" s="170">
        <f>SUM(G53:G57)</f>
        <v>3841800</v>
      </c>
      <c r="H58" s="171">
        <f>SUM(H53:H57)</f>
        <v>40500</v>
      </c>
      <c r="I58" s="172">
        <f>G58+H58</f>
        <v>3882300</v>
      </c>
      <c r="J58" s="173">
        <f>F58-I58</f>
        <v>46200</v>
      </c>
      <c r="K58" s="174">
        <f>SUM(K53:K57)</f>
        <v>729000</v>
      </c>
      <c r="L58" s="175">
        <f>J58+K58</f>
        <v>775200</v>
      </c>
    </row>
    <row r="59" spans="1:12" x14ac:dyDescent="0.25">
      <c r="A59" s="73"/>
      <c r="B59" s="86"/>
      <c r="C59" s="317" t="s">
        <v>129</v>
      </c>
      <c r="D59" s="87"/>
      <c r="E59" s="88"/>
      <c r="F59" s="87"/>
      <c r="G59" s="154"/>
      <c r="H59" s="87"/>
      <c r="I59" s="87"/>
      <c r="J59" s="87"/>
      <c r="K59" s="87"/>
      <c r="L59" s="128"/>
    </row>
    <row r="60" spans="1:12" ht="20.25" customHeight="1" x14ac:dyDescent="0.25">
      <c r="A60" s="73"/>
      <c r="B60" s="89"/>
      <c r="C60" s="317"/>
      <c r="D60" s="318">
        <f>[12]Sheet1!$C$28</f>
        <v>340000</v>
      </c>
      <c r="E60" s="320">
        <f>D60*3%</f>
        <v>10200</v>
      </c>
      <c r="F60" s="322">
        <f>D60-E60</f>
        <v>329800</v>
      </c>
      <c r="G60" s="324"/>
      <c r="H60" s="325">
        <f>D60*1%</f>
        <v>3400</v>
      </c>
      <c r="I60" s="327"/>
      <c r="J60" s="327"/>
      <c r="K60" s="329">
        <f>D60*18%</f>
        <v>61200</v>
      </c>
      <c r="L60" s="314"/>
    </row>
    <row r="61" spans="1:12" ht="19.5" customHeight="1" x14ac:dyDescent="0.25">
      <c r="A61" s="73"/>
      <c r="B61" s="89"/>
      <c r="C61" s="317"/>
      <c r="D61" s="319"/>
      <c r="E61" s="321"/>
      <c r="F61" s="323"/>
      <c r="G61" s="323"/>
      <c r="H61" s="326"/>
      <c r="I61" s="328"/>
      <c r="J61" s="328"/>
      <c r="K61" s="330"/>
      <c r="L61" s="315"/>
    </row>
    <row r="62" spans="1:12" ht="16.5" customHeight="1" thickBot="1" x14ac:dyDescent="0.3">
      <c r="A62" s="168"/>
      <c r="B62" s="316" t="s">
        <v>47</v>
      </c>
      <c r="C62" s="316"/>
      <c r="D62" s="169">
        <f>SUM(D58:D61)</f>
        <v>4390000</v>
      </c>
      <c r="E62" s="169">
        <f>SUM(E58:E61)</f>
        <v>131700</v>
      </c>
      <c r="F62" s="169">
        <f>SUM(F58:F61)</f>
        <v>4258300</v>
      </c>
      <c r="G62" s="170">
        <f>SUM(G58:G61)</f>
        <v>3841800</v>
      </c>
      <c r="H62" s="171">
        <f>SUM(H58:H61)</f>
        <v>43900</v>
      </c>
      <c r="I62" s="172">
        <f>G62+H62</f>
        <v>3885700</v>
      </c>
      <c r="J62" s="173">
        <f>F62-I62</f>
        <v>372600</v>
      </c>
      <c r="K62" s="174">
        <f>SUM(K58:K61)</f>
        <v>790200</v>
      </c>
      <c r="L62" s="223">
        <f>J62+K62</f>
        <v>1162800</v>
      </c>
    </row>
    <row r="63" spans="1:12" ht="19.5" customHeight="1" x14ac:dyDescent="0.25">
      <c r="A63" s="210">
        <v>12</v>
      </c>
      <c r="B63" s="216">
        <v>46023</v>
      </c>
      <c r="C63" s="211"/>
      <c r="D63" s="209"/>
      <c r="E63" s="209"/>
      <c r="F63" s="209" t="s">
        <v>110</v>
      </c>
      <c r="G63" s="215">
        <v>387600</v>
      </c>
      <c r="H63" s="207"/>
      <c r="I63" s="212"/>
      <c r="J63" s="213"/>
      <c r="K63" s="208"/>
      <c r="L63" s="214"/>
    </row>
    <row r="64" spans="1:12" x14ac:dyDescent="0.25">
      <c r="A64" s="73"/>
      <c r="B64" s="86"/>
      <c r="C64" s="317" t="s">
        <v>130</v>
      </c>
      <c r="D64" s="87"/>
      <c r="E64" s="88"/>
      <c r="F64" s="87"/>
      <c r="G64" s="154"/>
      <c r="H64" s="87"/>
      <c r="I64" s="87"/>
      <c r="J64" s="87"/>
      <c r="K64" s="87"/>
      <c r="L64" s="128"/>
    </row>
    <row r="65" spans="1:12" ht="18.75" customHeight="1" x14ac:dyDescent="0.25">
      <c r="A65" s="73"/>
      <c r="B65" s="89"/>
      <c r="C65" s="317"/>
      <c r="D65" s="318">
        <f>[13]Sheet1!$C$28</f>
        <v>340000</v>
      </c>
      <c r="E65" s="320">
        <f>D65*3%</f>
        <v>10200</v>
      </c>
      <c r="F65" s="322">
        <f>D65-E65</f>
        <v>329800</v>
      </c>
      <c r="G65" s="324"/>
      <c r="H65" s="325">
        <f>D65*1%</f>
        <v>3400</v>
      </c>
      <c r="I65" s="327"/>
      <c r="J65" s="327"/>
      <c r="K65" s="329">
        <f>D65*18%</f>
        <v>61200</v>
      </c>
      <c r="L65" s="314"/>
    </row>
    <row r="66" spans="1:12" ht="18" customHeight="1" x14ac:dyDescent="0.25">
      <c r="A66" s="73"/>
      <c r="B66" s="89"/>
      <c r="C66" s="317"/>
      <c r="D66" s="319"/>
      <c r="E66" s="321"/>
      <c r="F66" s="323"/>
      <c r="G66" s="323"/>
      <c r="H66" s="326"/>
      <c r="I66" s="328"/>
      <c r="J66" s="328"/>
      <c r="K66" s="330"/>
      <c r="L66" s="315"/>
    </row>
    <row r="67" spans="1:12" ht="15.75" thickBot="1" x14ac:dyDescent="0.3">
      <c r="A67" s="168"/>
      <c r="B67" s="316" t="s">
        <v>47</v>
      </c>
      <c r="C67" s="316"/>
      <c r="D67" s="169">
        <f>SUM(D62:D66)</f>
        <v>4730000</v>
      </c>
      <c r="E67" s="169">
        <f>SUM(E62:E66)</f>
        <v>141900</v>
      </c>
      <c r="F67" s="169">
        <f>SUM(F62:F66)</f>
        <v>4588100</v>
      </c>
      <c r="G67" s="170">
        <f>SUM(G62:G66)</f>
        <v>4229400</v>
      </c>
      <c r="H67" s="171">
        <f>SUM(H62:H66)</f>
        <v>47300</v>
      </c>
      <c r="I67" s="172">
        <f>G67+H67</f>
        <v>4276700</v>
      </c>
      <c r="J67" s="173">
        <f>F67-I67</f>
        <v>311400</v>
      </c>
      <c r="K67" s="174">
        <f>SUM(K62:K66)</f>
        <v>851400</v>
      </c>
      <c r="L67" s="175">
        <f>J67+K67</f>
        <v>1162800</v>
      </c>
    </row>
    <row r="68" spans="1:12" x14ac:dyDescent="0.25">
      <c r="A68" s="210">
        <v>13</v>
      </c>
      <c r="B68" s="216" t="s">
        <v>133</v>
      </c>
      <c r="C68" s="211"/>
      <c r="D68" s="209"/>
      <c r="E68" s="209"/>
      <c r="F68" s="209" t="s">
        <v>110</v>
      </c>
      <c r="G68" s="215">
        <v>775200</v>
      </c>
      <c r="H68" s="207"/>
      <c r="I68" s="212"/>
      <c r="J68" s="213"/>
      <c r="K68" s="208"/>
      <c r="L68" s="214"/>
    </row>
    <row r="69" spans="1:12" x14ac:dyDescent="0.25">
      <c r="A69" s="210">
        <v>14</v>
      </c>
      <c r="B69" s="216" t="s">
        <v>134</v>
      </c>
      <c r="C69" s="211"/>
      <c r="D69" s="209"/>
      <c r="E69" s="209"/>
      <c r="F69" s="209" t="s">
        <v>110</v>
      </c>
      <c r="G69" s="215">
        <v>387600</v>
      </c>
      <c r="H69" s="207"/>
      <c r="I69" s="212"/>
      <c r="J69" s="213"/>
      <c r="K69" s="208"/>
      <c r="L69" s="214"/>
    </row>
    <row r="70" spans="1:12" x14ac:dyDescent="0.25">
      <c r="A70" s="73"/>
      <c r="B70" s="86"/>
      <c r="C70" s="317" t="s">
        <v>131</v>
      </c>
      <c r="D70" s="87"/>
      <c r="E70" s="88"/>
      <c r="F70" s="87"/>
      <c r="G70" s="154"/>
      <c r="H70" s="87"/>
      <c r="I70" s="87"/>
      <c r="J70" s="87"/>
      <c r="K70" s="87"/>
      <c r="L70" s="128"/>
    </row>
    <row r="71" spans="1:12" ht="16.5" customHeight="1" x14ac:dyDescent="0.25">
      <c r="A71" s="73"/>
      <c r="B71" s="89"/>
      <c r="C71" s="317"/>
      <c r="D71" s="318">
        <f>[14]Sheet1!$C$28</f>
        <v>680000</v>
      </c>
      <c r="E71" s="320">
        <f>D71*3%</f>
        <v>20400</v>
      </c>
      <c r="F71" s="322">
        <f>D71-E71</f>
        <v>659600</v>
      </c>
      <c r="G71" s="324"/>
      <c r="H71" s="325">
        <f>D71*1%</f>
        <v>6800</v>
      </c>
      <c r="I71" s="327"/>
      <c r="J71" s="327"/>
      <c r="K71" s="329">
        <f>D71*18%</f>
        <v>122400</v>
      </c>
      <c r="L71" s="314"/>
    </row>
    <row r="72" spans="1:12" ht="18.75" customHeight="1" x14ac:dyDescent="0.25">
      <c r="A72" s="73"/>
      <c r="B72" s="89"/>
      <c r="C72" s="317"/>
      <c r="D72" s="319"/>
      <c r="E72" s="321"/>
      <c r="F72" s="323"/>
      <c r="G72" s="323"/>
      <c r="H72" s="326"/>
      <c r="I72" s="328"/>
      <c r="J72" s="328"/>
      <c r="K72" s="330"/>
      <c r="L72" s="315"/>
    </row>
    <row r="73" spans="1:12" ht="19.5" customHeight="1" thickBot="1" x14ac:dyDescent="0.3">
      <c r="A73" s="168"/>
      <c r="B73" s="316" t="s">
        <v>47</v>
      </c>
      <c r="C73" s="316"/>
      <c r="D73" s="169">
        <f>SUM(D67:D72)</f>
        <v>5410000</v>
      </c>
      <c r="E73" s="169">
        <f>SUM(E67:E72)</f>
        <v>162300</v>
      </c>
      <c r="F73" s="169">
        <f>SUM(F67:F72)</f>
        <v>5247700</v>
      </c>
      <c r="G73" s="170">
        <f>SUM(G67:G72)</f>
        <v>5392200</v>
      </c>
      <c r="H73" s="171">
        <f>SUM(H67:H72)</f>
        <v>54100</v>
      </c>
      <c r="I73" s="172">
        <f>G73+H73</f>
        <v>5446300</v>
      </c>
      <c r="J73" s="173">
        <f>F73-I73</f>
        <v>-198600</v>
      </c>
      <c r="K73" s="174">
        <f>SUM(K67:K72)</f>
        <v>973800</v>
      </c>
      <c r="L73" s="175">
        <f>J73+K73</f>
        <v>775200</v>
      </c>
    </row>
    <row r="74" spans="1:12" x14ac:dyDescent="0.25">
      <c r="A74" s="210">
        <v>15</v>
      </c>
      <c r="B74" s="216">
        <v>46297</v>
      </c>
      <c r="C74" s="211"/>
      <c r="D74" s="209"/>
      <c r="E74" s="209"/>
      <c r="F74" s="209" t="s">
        <v>110</v>
      </c>
      <c r="G74" s="215">
        <v>775200</v>
      </c>
      <c r="H74" s="207"/>
      <c r="I74" s="212"/>
      <c r="J74" s="213"/>
      <c r="K74" s="208"/>
      <c r="L74" s="214"/>
    </row>
    <row r="75" spans="1:12" x14ac:dyDescent="0.25">
      <c r="A75" s="73"/>
      <c r="B75" s="86"/>
      <c r="C75" s="317" t="s">
        <v>132</v>
      </c>
      <c r="D75" s="87"/>
      <c r="E75" s="88"/>
      <c r="F75" s="87"/>
      <c r="G75" s="154"/>
      <c r="H75" s="87"/>
      <c r="I75" s="87"/>
      <c r="J75" s="87"/>
      <c r="K75" s="87"/>
      <c r="L75" s="128"/>
    </row>
    <row r="76" spans="1:12" ht="16.5" customHeight="1" x14ac:dyDescent="0.25">
      <c r="A76" s="73"/>
      <c r="B76" s="89"/>
      <c r="C76" s="317"/>
      <c r="D76" s="318">
        <f>[15]Sheet1!$C$28</f>
        <v>340000</v>
      </c>
      <c r="E76" s="320">
        <f>D76*3%</f>
        <v>10200</v>
      </c>
      <c r="F76" s="322">
        <f>D76-E76</f>
        <v>329800</v>
      </c>
      <c r="G76" s="324"/>
      <c r="H76" s="325">
        <f>D76*1%</f>
        <v>3400</v>
      </c>
      <c r="I76" s="327"/>
      <c r="J76" s="327"/>
      <c r="K76" s="329">
        <f>D76*18%</f>
        <v>61200</v>
      </c>
      <c r="L76" s="314"/>
    </row>
    <row r="77" spans="1:12" ht="18.75" customHeight="1" x14ac:dyDescent="0.25">
      <c r="A77" s="73"/>
      <c r="B77" s="89"/>
      <c r="C77" s="317"/>
      <c r="D77" s="319"/>
      <c r="E77" s="321"/>
      <c r="F77" s="323"/>
      <c r="G77" s="323"/>
      <c r="H77" s="326"/>
      <c r="I77" s="328"/>
      <c r="J77" s="328"/>
      <c r="K77" s="330"/>
      <c r="L77" s="315"/>
    </row>
    <row r="78" spans="1:12" ht="19.5" customHeight="1" thickBot="1" x14ac:dyDescent="0.3">
      <c r="A78" s="168"/>
      <c r="B78" s="316" t="s">
        <v>47</v>
      </c>
      <c r="C78" s="316"/>
      <c r="D78" s="169">
        <f>SUM(D72:D77)</f>
        <v>5750000</v>
      </c>
      <c r="E78" s="169">
        <f>SUM(E72:E77)</f>
        <v>172500</v>
      </c>
      <c r="F78" s="169">
        <f>SUM(F72:F77)</f>
        <v>5577500</v>
      </c>
      <c r="G78" s="170">
        <f>SUM(G72:G77)</f>
        <v>6167400</v>
      </c>
      <c r="H78" s="171">
        <f>SUM(H72:H77)</f>
        <v>57500</v>
      </c>
      <c r="I78" s="172">
        <f>G78+H78</f>
        <v>6224900</v>
      </c>
      <c r="J78" s="173">
        <f>F78-I78</f>
        <v>-647400</v>
      </c>
      <c r="K78" s="174">
        <f>SUM(K72:K77)</f>
        <v>1035000</v>
      </c>
      <c r="L78" s="175">
        <f>J78+K78</f>
        <v>387600</v>
      </c>
    </row>
    <row r="79" spans="1:12" x14ac:dyDescent="0.25">
      <c r="A79" s="73"/>
      <c r="B79" s="86"/>
      <c r="C79" s="317" t="s">
        <v>135</v>
      </c>
      <c r="D79" s="87"/>
      <c r="E79" s="88"/>
      <c r="F79" s="87"/>
      <c r="G79" s="154"/>
      <c r="H79" s="87"/>
      <c r="I79" s="87"/>
      <c r="J79" s="87"/>
      <c r="K79" s="87"/>
      <c r="L79" s="128"/>
    </row>
    <row r="80" spans="1:12" ht="16.5" customHeight="1" x14ac:dyDescent="0.25">
      <c r="A80" s="73"/>
      <c r="B80" s="89"/>
      <c r="C80" s="317"/>
      <c r="D80" s="318">
        <f>[16]Sheet1!$C$28</f>
        <v>340000</v>
      </c>
      <c r="E80" s="320">
        <f>D80*3%</f>
        <v>10200</v>
      </c>
      <c r="F80" s="322">
        <f>D80-E80</f>
        <v>329800</v>
      </c>
      <c r="G80" s="324"/>
      <c r="H80" s="325">
        <f>D80*1%</f>
        <v>3400</v>
      </c>
      <c r="I80" s="327"/>
      <c r="J80" s="327"/>
      <c r="K80" s="329">
        <f>D80*18%</f>
        <v>61200</v>
      </c>
      <c r="L80" s="314"/>
    </row>
    <row r="81" spans="1:14" ht="18" customHeight="1" x14ac:dyDescent="0.25">
      <c r="A81" s="73"/>
      <c r="B81" s="89"/>
      <c r="C81" s="317"/>
      <c r="D81" s="319"/>
      <c r="E81" s="321"/>
      <c r="F81" s="323"/>
      <c r="G81" s="323"/>
      <c r="H81" s="326"/>
      <c r="I81" s="328"/>
      <c r="J81" s="328"/>
      <c r="K81" s="330"/>
      <c r="L81" s="315"/>
    </row>
    <row r="82" spans="1:14" ht="15.75" thickBot="1" x14ac:dyDescent="0.3">
      <c r="A82" s="168"/>
      <c r="B82" s="316" t="s">
        <v>47</v>
      </c>
      <c r="C82" s="316"/>
      <c r="D82" s="169">
        <f>SUM(D77:D81)</f>
        <v>6090000</v>
      </c>
      <c r="E82" s="169">
        <f>SUM(E77:E81)</f>
        <v>182700</v>
      </c>
      <c r="F82" s="169">
        <f>SUM(F77:F81)</f>
        <v>5907300</v>
      </c>
      <c r="G82" s="170">
        <f>SUM(G77:G81)</f>
        <v>6167400</v>
      </c>
      <c r="H82" s="171">
        <f>SUM(H77:H81)</f>
        <v>60900</v>
      </c>
      <c r="I82" s="172">
        <f>G82+H82</f>
        <v>6228300</v>
      </c>
      <c r="J82" s="173">
        <f>F82-I82</f>
        <v>-321000</v>
      </c>
      <c r="K82" s="174">
        <f>SUM(K77:K81)</f>
        <v>1096200</v>
      </c>
      <c r="L82" s="175">
        <f>J82+K82</f>
        <v>775200</v>
      </c>
      <c r="N82" s="35"/>
    </row>
    <row r="83" spans="1:14" x14ac:dyDescent="0.25">
      <c r="A83" s="210">
        <v>16</v>
      </c>
      <c r="B83" s="216" t="s">
        <v>137</v>
      </c>
      <c r="C83" s="211"/>
      <c r="D83" s="209"/>
      <c r="E83" s="209"/>
      <c r="F83" s="209" t="s">
        <v>110</v>
      </c>
      <c r="G83" s="215">
        <v>387600</v>
      </c>
      <c r="H83" s="207"/>
      <c r="I83" s="212"/>
      <c r="J83" s="213"/>
      <c r="K83" s="208"/>
      <c r="L83" s="214"/>
      <c r="N83" s="35"/>
    </row>
    <row r="84" spans="1:14" x14ac:dyDescent="0.25">
      <c r="A84" s="73"/>
      <c r="B84" s="86"/>
      <c r="C84" s="317" t="s">
        <v>136</v>
      </c>
      <c r="D84" s="87"/>
      <c r="E84" s="88"/>
      <c r="F84" s="87"/>
      <c r="G84" s="154"/>
      <c r="H84" s="87"/>
      <c r="I84" s="87"/>
      <c r="J84" s="87"/>
      <c r="K84" s="87"/>
      <c r="L84" s="128"/>
    </row>
    <row r="85" spans="1:14" ht="18" customHeight="1" x14ac:dyDescent="0.25">
      <c r="A85" s="73"/>
      <c r="B85" s="89"/>
      <c r="C85" s="317"/>
      <c r="D85" s="318">
        <f>[17]Sheet1!$C$28</f>
        <v>340000</v>
      </c>
      <c r="E85" s="320">
        <f>D85*3%</f>
        <v>10200</v>
      </c>
      <c r="F85" s="322">
        <f>D85-E85</f>
        <v>329800</v>
      </c>
      <c r="G85" s="324"/>
      <c r="H85" s="325">
        <f>D85*1%</f>
        <v>3400</v>
      </c>
      <c r="I85" s="327"/>
      <c r="J85" s="327"/>
      <c r="K85" s="329">
        <f>D85*18%</f>
        <v>61200</v>
      </c>
      <c r="L85" s="314"/>
    </row>
    <row r="86" spans="1:14" ht="18" customHeight="1" x14ac:dyDescent="0.25">
      <c r="A86" s="73"/>
      <c r="B86" s="89"/>
      <c r="C86" s="317"/>
      <c r="D86" s="319"/>
      <c r="E86" s="321"/>
      <c r="F86" s="323"/>
      <c r="G86" s="323"/>
      <c r="H86" s="326"/>
      <c r="I86" s="328"/>
      <c r="J86" s="328"/>
      <c r="K86" s="330"/>
      <c r="L86" s="315"/>
    </row>
    <row r="87" spans="1:14" ht="15.75" thickBot="1" x14ac:dyDescent="0.3">
      <c r="A87" s="168"/>
      <c r="B87" s="316" t="s">
        <v>47</v>
      </c>
      <c r="C87" s="316"/>
      <c r="D87" s="169">
        <f>SUM(D82:D86)</f>
        <v>6430000</v>
      </c>
      <c r="E87" s="169">
        <f>SUM(E82:E86)</f>
        <v>192900</v>
      </c>
      <c r="F87" s="169">
        <f>SUM(F82:F86)</f>
        <v>6237100</v>
      </c>
      <c r="G87" s="170">
        <f>SUM(G82:G86)</f>
        <v>6555000</v>
      </c>
      <c r="H87" s="171">
        <f>SUM(H82:H86)</f>
        <v>64300</v>
      </c>
      <c r="I87" s="172">
        <f>G87+H87</f>
        <v>6619300</v>
      </c>
      <c r="J87" s="173">
        <f>F87-I87</f>
        <v>-382200</v>
      </c>
      <c r="K87" s="174">
        <f>SUM(K82:K86)</f>
        <v>1157400</v>
      </c>
      <c r="L87" s="175">
        <f>J87+K87</f>
        <v>775200</v>
      </c>
    </row>
    <row r="88" spans="1:14" x14ac:dyDescent="0.25">
      <c r="A88" s="210">
        <v>17</v>
      </c>
      <c r="B88" s="216">
        <v>46091</v>
      </c>
      <c r="C88" s="211"/>
      <c r="D88" s="225"/>
      <c r="E88" s="225"/>
      <c r="F88" s="225" t="s">
        <v>110</v>
      </c>
      <c r="G88" s="215">
        <v>387600</v>
      </c>
      <c r="H88" s="226"/>
      <c r="I88" s="212"/>
      <c r="J88" s="213"/>
      <c r="K88" s="227"/>
      <c r="L88" s="214"/>
    </row>
    <row r="89" spans="1:14" x14ac:dyDescent="0.25">
      <c r="A89" s="210">
        <v>18</v>
      </c>
      <c r="B89" s="216">
        <v>46101</v>
      </c>
      <c r="C89" s="211"/>
      <c r="D89" s="225"/>
      <c r="E89" s="225"/>
      <c r="F89" s="225"/>
      <c r="G89" s="215">
        <v>387600</v>
      </c>
      <c r="H89" s="226"/>
      <c r="I89" s="212"/>
      <c r="J89" s="213"/>
      <c r="K89" s="227"/>
      <c r="L89" s="214"/>
    </row>
    <row r="90" spans="1:14" x14ac:dyDescent="0.25">
      <c r="A90" s="73"/>
      <c r="B90" s="86"/>
      <c r="C90" s="317" t="s">
        <v>138</v>
      </c>
      <c r="D90" s="87"/>
      <c r="E90" s="88"/>
      <c r="F90" s="87"/>
      <c r="G90" s="154"/>
      <c r="H90" s="87"/>
      <c r="I90" s="87"/>
      <c r="J90" s="87"/>
      <c r="K90" s="87"/>
      <c r="L90" s="128"/>
    </row>
    <row r="91" spans="1:14" ht="19.5" customHeight="1" x14ac:dyDescent="0.25">
      <c r="A91" s="73"/>
      <c r="B91" s="89"/>
      <c r="C91" s="317"/>
      <c r="D91" s="318">
        <f>[18]Sheet1!$C$28</f>
        <v>340000</v>
      </c>
      <c r="E91" s="320">
        <f>D91*3%</f>
        <v>10200</v>
      </c>
      <c r="F91" s="322">
        <f>D91-E91</f>
        <v>329800</v>
      </c>
      <c r="G91" s="324"/>
      <c r="H91" s="325">
        <f>D91*1%</f>
        <v>3400</v>
      </c>
      <c r="I91" s="327"/>
      <c r="J91" s="327"/>
      <c r="K91" s="329">
        <f>D91*18%</f>
        <v>61200</v>
      </c>
      <c r="L91" s="314"/>
    </row>
    <row r="92" spans="1:14" ht="17.25" customHeight="1" x14ac:dyDescent="0.25">
      <c r="A92" s="73"/>
      <c r="B92" s="89"/>
      <c r="C92" s="317"/>
      <c r="D92" s="319"/>
      <c r="E92" s="321"/>
      <c r="F92" s="323"/>
      <c r="G92" s="323"/>
      <c r="H92" s="326"/>
      <c r="I92" s="328"/>
      <c r="J92" s="328"/>
      <c r="K92" s="330"/>
      <c r="L92" s="315"/>
    </row>
    <row r="93" spans="1:14" ht="15.75" thickBot="1" x14ac:dyDescent="0.3">
      <c r="A93" s="168"/>
      <c r="B93" s="316" t="s">
        <v>47</v>
      </c>
      <c r="C93" s="316"/>
      <c r="D93" s="169">
        <f>SUM(D87:D92)</f>
        <v>6770000</v>
      </c>
      <c r="E93" s="169">
        <f>SUM(E87:E92)</f>
        <v>203100</v>
      </c>
      <c r="F93" s="169">
        <f>SUM(F87:F92)</f>
        <v>6566900</v>
      </c>
      <c r="G93" s="170">
        <f>SUM(G87:G92)</f>
        <v>7330200</v>
      </c>
      <c r="H93" s="171">
        <f>SUM(H87:H92)</f>
        <v>67700</v>
      </c>
      <c r="I93" s="172">
        <f>G93+H93</f>
        <v>7397900</v>
      </c>
      <c r="J93" s="173">
        <f>F93-I93</f>
        <v>-831000</v>
      </c>
      <c r="K93" s="174">
        <f>SUM(K87:K92)</f>
        <v>1218600</v>
      </c>
      <c r="L93" s="175">
        <f>J93+K93</f>
        <v>387600</v>
      </c>
    </row>
    <row r="94" spans="1:14" x14ac:dyDescent="0.25">
      <c r="A94" s="73"/>
      <c r="B94" s="86"/>
      <c r="C94" s="317" t="s">
        <v>140</v>
      </c>
      <c r="D94" s="87"/>
      <c r="E94" s="88"/>
      <c r="F94" s="87"/>
      <c r="G94" s="154"/>
      <c r="H94" s="87"/>
      <c r="I94" s="87"/>
      <c r="J94" s="87"/>
      <c r="K94" s="87"/>
      <c r="L94" s="128"/>
    </row>
    <row r="95" spans="1:14" ht="18" customHeight="1" x14ac:dyDescent="0.25">
      <c r="A95" s="73"/>
      <c r="B95" s="89"/>
      <c r="C95" s="317"/>
      <c r="D95" s="318">
        <f>[19]Sheet1!$C$28</f>
        <v>340000</v>
      </c>
      <c r="E95" s="320">
        <f>D95*3%</f>
        <v>10200</v>
      </c>
      <c r="F95" s="322">
        <f>D95-E95</f>
        <v>329800</v>
      </c>
      <c r="G95" s="324"/>
      <c r="H95" s="325">
        <f>D95*1%</f>
        <v>3400</v>
      </c>
      <c r="I95" s="327"/>
      <c r="J95" s="327"/>
      <c r="K95" s="329">
        <f>D95*18%</f>
        <v>61200</v>
      </c>
      <c r="L95" s="314"/>
    </row>
    <row r="96" spans="1:14" ht="18" customHeight="1" x14ac:dyDescent="0.25">
      <c r="A96" s="73"/>
      <c r="B96" s="89"/>
      <c r="C96" s="317"/>
      <c r="D96" s="319"/>
      <c r="E96" s="321"/>
      <c r="F96" s="323"/>
      <c r="G96" s="323"/>
      <c r="H96" s="326"/>
      <c r="I96" s="328"/>
      <c r="J96" s="328"/>
      <c r="K96" s="330"/>
      <c r="L96" s="315"/>
    </row>
    <row r="97" spans="1:12" ht="15.75" thickBot="1" x14ac:dyDescent="0.3">
      <c r="A97" s="168"/>
      <c r="B97" s="316" t="s">
        <v>47</v>
      </c>
      <c r="C97" s="316"/>
      <c r="D97" s="169">
        <f>SUM(D93:D96)</f>
        <v>7110000</v>
      </c>
      <c r="E97" s="169">
        <f t="shared" ref="E97:F97" si="3">SUM(E93:E96)</f>
        <v>213300</v>
      </c>
      <c r="F97" s="169">
        <f t="shared" si="3"/>
        <v>6896700</v>
      </c>
      <c r="G97" s="170">
        <f>SUM(G93:G96)</f>
        <v>7330200</v>
      </c>
      <c r="H97" s="171">
        <f>SUM(H93:H96)</f>
        <v>71100</v>
      </c>
      <c r="I97" s="172">
        <f>G97+H97</f>
        <v>7401300</v>
      </c>
      <c r="J97" s="173">
        <f>F97-I97</f>
        <v>-504600</v>
      </c>
      <c r="K97" s="174">
        <f>SUM(K93:K96)</f>
        <v>1279800</v>
      </c>
      <c r="L97" s="175">
        <f>J97+K97</f>
        <v>775200</v>
      </c>
    </row>
    <row r="98" spans="1:12" x14ac:dyDescent="0.25">
      <c r="A98" s="210">
        <v>19</v>
      </c>
      <c r="B98" s="216">
        <v>46128</v>
      </c>
      <c r="C98" s="211"/>
      <c r="D98" s="228"/>
      <c r="E98" s="228"/>
      <c r="F98" s="228" t="s">
        <v>110</v>
      </c>
      <c r="G98" s="215">
        <v>387600</v>
      </c>
      <c r="H98" s="229"/>
      <c r="I98" s="212"/>
      <c r="J98" s="213"/>
      <c r="K98" s="230"/>
      <c r="L98" s="214"/>
    </row>
    <row r="99" spans="1:12" ht="18.75" customHeight="1" x14ac:dyDescent="0.25">
      <c r="A99" s="73"/>
      <c r="B99" s="86"/>
      <c r="C99" s="317" t="s">
        <v>145</v>
      </c>
      <c r="D99" s="87"/>
      <c r="E99" s="88"/>
      <c r="F99" s="87"/>
      <c r="G99" s="154"/>
      <c r="H99" s="87"/>
      <c r="I99" s="87"/>
      <c r="J99" s="87"/>
      <c r="K99" s="87"/>
      <c r="L99" s="128"/>
    </row>
    <row r="100" spans="1:12" ht="18" customHeight="1" x14ac:dyDescent="0.25">
      <c r="A100" s="73"/>
      <c r="B100" s="89"/>
      <c r="C100" s="317"/>
      <c r="D100" s="318">
        <f>Sheet1!C28</f>
        <v>340000</v>
      </c>
      <c r="E100" s="320">
        <f>D100*3%</f>
        <v>10200</v>
      </c>
      <c r="F100" s="322">
        <f>D100-E100</f>
        <v>329800</v>
      </c>
      <c r="G100" s="324"/>
      <c r="H100" s="325">
        <f>D100*1%</f>
        <v>3400</v>
      </c>
      <c r="I100" s="327"/>
      <c r="J100" s="327"/>
      <c r="K100" s="329">
        <f>D100*18%</f>
        <v>61200</v>
      </c>
      <c r="L100" s="314"/>
    </row>
    <row r="101" spans="1:12" x14ac:dyDescent="0.25">
      <c r="A101" s="73"/>
      <c r="B101" s="89"/>
      <c r="C101" s="317"/>
      <c r="D101" s="319"/>
      <c r="E101" s="321"/>
      <c r="F101" s="323"/>
      <c r="G101" s="323"/>
      <c r="H101" s="326"/>
      <c r="I101" s="328"/>
      <c r="J101" s="328"/>
      <c r="K101" s="330"/>
      <c r="L101" s="315"/>
    </row>
    <row r="102" spans="1:12" ht="15.75" thickBot="1" x14ac:dyDescent="0.3">
      <c r="A102" s="168"/>
      <c r="B102" s="316" t="s">
        <v>47</v>
      </c>
      <c r="C102" s="316"/>
      <c r="D102" s="169">
        <f>SUM(D97:D101)</f>
        <v>7450000</v>
      </c>
      <c r="E102" s="169">
        <f>SUM(E97:E101)</f>
        <v>223500</v>
      </c>
      <c r="F102" s="169">
        <f>SUM(F97:F101)</f>
        <v>7226500</v>
      </c>
      <c r="G102" s="170">
        <f>SUM(G97:G101)</f>
        <v>7717800</v>
      </c>
      <c r="H102" s="171">
        <f>SUM(H97:H101)</f>
        <v>74500</v>
      </c>
      <c r="I102" s="172">
        <f>G102+H102</f>
        <v>7792300</v>
      </c>
      <c r="J102" s="173">
        <f>F102-I102</f>
        <v>-565800</v>
      </c>
      <c r="K102" s="174">
        <f>SUM(K97:K101)</f>
        <v>1341000</v>
      </c>
      <c r="L102" s="175">
        <f>J102+K102</f>
        <v>775200</v>
      </c>
    </row>
  </sheetData>
  <mergeCells count="220">
    <mergeCell ref="L100:L101"/>
    <mergeCell ref="B102:C102"/>
    <mergeCell ref="C99:C101"/>
    <mergeCell ref="D100:D101"/>
    <mergeCell ref="E100:E101"/>
    <mergeCell ref="F100:F101"/>
    <mergeCell ref="G100:G101"/>
    <mergeCell ref="H100:H101"/>
    <mergeCell ref="I100:I101"/>
    <mergeCell ref="J100:J101"/>
    <mergeCell ref="K100:K101"/>
    <mergeCell ref="L85:L86"/>
    <mergeCell ref="B87:C87"/>
    <mergeCell ref="C84:C86"/>
    <mergeCell ref="D85:D86"/>
    <mergeCell ref="E85:E86"/>
    <mergeCell ref="F85:F86"/>
    <mergeCell ref="G85:G86"/>
    <mergeCell ref="H85:H86"/>
    <mergeCell ref="I85:I86"/>
    <mergeCell ref="J85:J86"/>
    <mergeCell ref="K85:K86"/>
    <mergeCell ref="L60:L61"/>
    <mergeCell ref="B62:C62"/>
    <mergeCell ref="C59:C61"/>
    <mergeCell ref="D60:D61"/>
    <mergeCell ref="E60:E61"/>
    <mergeCell ref="F60:F61"/>
    <mergeCell ref="G60:G61"/>
    <mergeCell ref="H60:H61"/>
    <mergeCell ref="I60:I61"/>
    <mergeCell ref="J60:J61"/>
    <mergeCell ref="K60:K61"/>
    <mergeCell ref="B53:C53"/>
    <mergeCell ref="H51:H52"/>
    <mergeCell ref="I51:I52"/>
    <mergeCell ref="J51:J52"/>
    <mergeCell ref="K51:K52"/>
    <mergeCell ref="L51:L52"/>
    <mergeCell ref="C50:C52"/>
    <mergeCell ref="D51:D52"/>
    <mergeCell ref="E51:E52"/>
    <mergeCell ref="F51:F52"/>
    <mergeCell ref="G51:G52"/>
    <mergeCell ref="B43:C43"/>
    <mergeCell ref="H41:H42"/>
    <mergeCell ref="I41:I42"/>
    <mergeCell ref="J41:J42"/>
    <mergeCell ref="K41:K42"/>
    <mergeCell ref="L41:L42"/>
    <mergeCell ref="C40:C42"/>
    <mergeCell ref="D41:D42"/>
    <mergeCell ref="E41:E42"/>
    <mergeCell ref="F41:F42"/>
    <mergeCell ref="G41:G42"/>
    <mergeCell ref="B38:C38"/>
    <mergeCell ref="H36:H37"/>
    <mergeCell ref="I36:I37"/>
    <mergeCell ref="J36:J37"/>
    <mergeCell ref="K36:K37"/>
    <mergeCell ref="L36:L37"/>
    <mergeCell ref="C35:C37"/>
    <mergeCell ref="D36:D37"/>
    <mergeCell ref="E36:E37"/>
    <mergeCell ref="F36:F37"/>
    <mergeCell ref="G36:G37"/>
    <mergeCell ref="B28:C28"/>
    <mergeCell ref="H26:H27"/>
    <mergeCell ref="I26:I27"/>
    <mergeCell ref="J26:J27"/>
    <mergeCell ref="K26:K27"/>
    <mergeCell ref="L26:L27"/>
    <mergeCell ref="C25:C27"/>
    <mergeCell ref="D26:D27"/>
    <mergeCell ref="E26:E27"/>
    <mergeCell ref="F26:F27"/>
    <mergeCell ref="G26:G27"/>
    <mergeCell ref="B23:C23"/>
    <mergeCell ref="H21:H22"/>
    <mergeCell ref="I21:I22"/>
    <mergeCell ref="J21:J22"/>
    <mergeCell ref="K21:K22"/>
    <mergeCell ref="L21:L22"/>
    <mergeCell ref="C20:C22"/>
    <mergeCell ref="D21:D22"/>
    <mergeCell ref="E21:E22"/>
    <mergeCell ref="F21:F22"/>
    <mergeCell ref="G21:G22"/>
    <mergeCell ref="B14:C14"/>
    <mergeCell ref="H12:H13"/>
    <mergeCell ref="I12:I13"/>
    <mergeCell ref="J12:J13"/>
    <mergeCell ref="K12:K13"/>
    <mergeCell ref="L12:L13"/>
    <mergeCell ref="C11:C13"/>
    <mergeCell ref="D12:D13"/>
    <mergeCell ref="E12:E13"/>
    <mergeCell ref="F12:F13"/>
    <mergeCell ref="G12:G13"/>
    <mergeCell ref="K7:K8"/>
    <mergeCell ref="L7:L8"/>
    <mergeCell ref="G7:G8"/>
    <mergeCell ref="H7:H8"/>
    <mergeCell ref="I7:I8"/>
    <mergeCell ref="J7:J8"/>
    <mergeCell ref="B9:C9"/>
    <mergeCell ref="C6:C8"/>
    <mergeCell ref="D7:D8"/>
    <mergeCell ref="E7:E8"/>
    <mergeCell ref="F7:F8"/>
    <mergeCell ref="L16:L17"/>
    <mergeCell ref="C15:C17"/>
    <mergeCell ref="D16:D17"/>
    <mergeCell ref="E16:E17"/>
    <mergeCell ref="F16:F17"/>
    <mergeCell ref="G16:G17"/>
    <mergeCell ref="B18:C18"/>
    <mergeCell ref="H16:H17"/>
    <mergeCell ref="I16:I17"/>
    <mergeCell ref="J16:J17"/>
    <mergeCell ref="K16:K17"/>
    <mergeCell ref="L31:L32"/>
    <mergeCell ref="C30:C32"/>
    <mergeCell ref="D31:D32"/>
    <mergeCell ref="E31:E32"/>
    <mergeCell ref="F31:F32"/>
    <mergeCell ref="G31:G32"/>
    <mergeCell ref="B33:C33"/>
    <mergeCell ref="H31:H32"/>
    <mergeCell ref="I31:I32"/>
    <mergeCell ref="J31:J32"/>
    <mergeCell ref="K31:K32"/>
    <mergeCell ref="L46:L47"/>
    <mergeCell ref="C45:C47"/>
    <mergeCell ref="D46:D47"/>
    <mergeCell ref="E46:E47"/>
    <mergeCell ref="F46:F47"/>
    <mergeCell ref="G46:G47"/>
    <mergeCell ref="B48:C48"/>
    <mergeCell ref="H46:H47"/>
    <mergeCell ref="I46:I47"/>
    <mergeCell ref="J46:J47"/>
    <mergeCell ref="K46:K47"/>
    <mergeCell ref="L56:L57"/>
    <mergeCell ref="B58:C58"/>
    <mergeCell ref="C55:C57"/>
    <mergeCell ref="D56:D57"/>
    <mergeCell ref="E56:E57"/>
    <mergeCell ref="F56:F57"/>
    <mergeCell ref="G56:G57"/>
    <mergeCell ref="H56:H57"/>
    <mergeCell ref="I56:I57"/>
    <mergeCell ref="J56:J57"/>
    <mergeCell ref="K56:K57"/>
    <mergeCell ref="L65:L66"/>
    <mergeCell ref="B67:C67"/>
    <mergeCell ref="C64:C66"/>
    <mergeCell ref="D65:D66"/>
    <mergeCell ref="E65:E66"/>
    <mergeCell ref="F65:F66"/>
    <mergeCell ref="G65:G66"/>
    <mergeCell ref="H65:H66"/>
    <mergeCell ref="I65:I66"/>
    <mergeCell ref="J65:J66"/>
    <mergeCell ref="K65:K66"/>
    <mergeCell ref="L71:L72"/>
    <mergeCell ref="B73:C73"/>
    <mergeCell ref="C70:C72"/>
    <mergeCell ref="D71:D72"/>
    <mergeCell ref="E71:E72"/>
    <mergeCell ref="F71:F72"/>
    <mergeCell ref="G71:G72"/>
    <mergeCell ref="H71:H72"/>
    <mergeCell ref="I71:I72"/>
    <mergeCell ref="J71:J72"/>
    <mergeCell ref="K71:K72"/>
    <mergeCell ref="L76:L77"/>
    <mergeCell ref="B78:C78"/>
    <mergeCell ref="C75:C77"/>
    <mergeCell ref="D76:D77"/>
    <mergeCell ref="E76:E77"/>
    <mergeCell ref="F76:F77"/>
    <mergeCell ref="G76:G77"/>
    <mergeCell ref="H76:H77"/>
    <mergeCell ref="I76:I77"/>
    <mergeCell ref="J76:J77"/>
    <mergeCell ref="K76:K77"/>
    <mergeCell ref="L80:L81"/>
    <mergeCell ref="B82:C82"/>
    <mergeCell ref="C79:C81"/>
    <mergeCell ref="D80:D81"/>
    <mergeCell ref="E80:E81"/>
    <mergeCell ref="F80:F81"/>
    <mergeCell ref="G80:G81"/>
    <mergeCell ref="H80:H81"/>
    <mergeCell ref="I80:I81"/>
    <mergeCell ref="J80:J81"/>
    <mergeCell ref="K80:K81"/>
    <mergeCell ref="L91:L92"/>
    <mergeCell ref="B93:C93"/>
    <mergeCell ref="C90:C92"/>
    <mergeCell ref="D91:D92"/>
    <mergeCell ref="E91:E92"/>
    <mergeCell ref="F91:F92"/>
    <mergeCell ref="G91:G92"/>
    <mergeCell ref="H91:H92"/>
    <mergeCell ref="I91:I92"/>
    <mergeCell ref="J91:J92"/>
    <mergeCell ref="K91:K92"/>
    <mergeCell ref="L95:L96"/>
    <mergeCell ref="B97:C97"/>
    <mergeCell ref="C94:C96"/>
    <mergeCell ref="D95:D96"/>
    <mergeCell ref="E95:E96"/>
    <mergeCell ref="F95:F96"/>
    <mergeCell ref="G95:G96"/>
    <mergeCell ref="H95:H96"/>
    <mergeCell ref="I95:I96"/>
    <mergeCell ref="J95:J96"/>
    <mergeCell ref="K95:K96"/>
  </mergeCells>
  <pageMargins left="1" right="0" top="0" bottom="0" header="0.3" footer="0.3"/>
  <pageSetup paperSize="9" scale="48" orientation="portrait" horizontalDpi="4294967293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Tower C Wing</vt:lpstr>
      <vt:lpstr>supply</vt:lpstr>
      <vt:lpstr>Balance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GIGABYTE</dc:creator>
  <cp:lastModifiedBy>win10</cp:lastModifiedBy>
  <cp:lastPrinted>2026-05-03T13:23:06Z</cp:lastPrinted>
  <dcterms:created xsi:type="dcterms:W3CDTF">2023-07-03T16:59:47Z</dcterms:created>
  <dcterms:modified xsi:type="dcterms:W3CDTF">2026-05-29T10:30:25Z</dcterms:modified>
</cp:coreProperties>
</file>