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A:\Local Disk\Users\HP\MAIN DATA\RCR ENTERPRISES ALL FILE\WORK START COMPANY\SSHIVAAY CONSTRUCTION VIKHROLI PARK SITE\"/>
    </mc:Choice>
  </mc:AlternateContent>
  <bookViews>
    <workbookView xWindow="-120" yWindow="-120" windowWidth="20730" windowHeight="11160"/>
  </bookViews>
  <sheets>
    <sheet name="Sheet1" sheetId="1" r:id="rId1"/>
    <sheet name="Sheet2" sheetId="2" r:id="rId2"/>
    <sheet name="Tower S2 Wing" sheetId="14" r:id="rId3"/>
    <sheet name="Tower S3 Wing" sheetId="3" r:id="rId4"/>
    <sheet name="supply" sheetId="4" r:id="rId5"/>
    <sheet name="Balance sheet" sheetId="13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4" i="13" l="1"/>
  <c r="J14" i="13"/>
  <c r="I14" i="13"/>
  <c r="H14" i="13"/>
  <c r="G14" i="13"/>
  <c r="E12" i="13"/>
  <c r="J31" i="2"/>
  <c r="H14" i="3"/>
  <c r="H15" i="3"/>
  <c r="E14" i="3"/>
  <c r="F23" i="2"/>
  <c r="H24" i="3" l="1"/>
  <c r="G15" i="3"/>
  <c r="G14" i="3"/>
  <c r="F15" i="3"/>
  <c r="F14" i="3"/>
  <c r="C40" i="14"/>
  <c r="K46" i="14"/>
  <c r="K42" i="14"/>
  <c r="L42" i="14"/>
  <c r="D8" i="14" l="1"/>
  <c r="I8" i="14" s="1"/>
  <c r="E24" i="3"/>
  <c r="G23" i="2" s="1"/>
  <c r="G40" i="14"/>
  <c r="F24" i="2"/>
  <c r="I8" i="4"/>
  <c r="I9" i="4"/>
  <c r="I10" i="4"/>
  <c r="I11" i="4"/>
  <c r="I12" i="4"/>
  <c r="I13" i="4"/>
  <c r="F8" i="4"/>
  <c r="F9" i="4"/>
  <c r="F10" i="4"/>
  <c r="F11" i="4"/>
  <c r="F12" i="4"/>
  <c r="F13" i="4"/>
  <c r="I7" i="4"/>
  <c r="F7" i="4"/>
  <c r="J22" i="2"/>
  <c r="I22" i="2"/>
  <c r="G22" i="2"/>
  <c r="F22" i="2"/>
  <c r="H22" i="2" s="1"/>
  <c r="I15" i="14"/>
  <c r="I16" i="14"/>
  <c r="I17" i="14"/>
  <c r="I18" i="14"/>
  <c r="I19" i="14"/>
  <c r="I20" i="14"/>
  <c r="I21" i="14"/>
  <c r="I22" i="14"/>
  <c r="I23" i="14"/>
  <c r="I24" i="14"/>
  <c r="I25" i="14"/>
  <c r="I26" i="14"/>
  <c r="I27" i="14"/>
  <c r="I28" i="14"/>
  <c r="I29" i="14"/>
  <c r="I30" i="14"/>
  <c r="H38" i="14"/>
  <c r="I38" i="14" s="1"/>
  <c r="H37" i="14"/>
  <c r="I37" i="14" s="1"/>
  <c r="I36" i="14"/>
  <c r="I35" i="14"/>
  <c r="I34" i="14"/>
  <c r="I33" i="14"/>
  <c r="I32" i="14"/>
  <c r="I31" i="14"/>
  <c r="D22" i="2" l="1"/>
  <c r="I40" i="14"/>
  <c r="K22" i="2"/>
  <c r="H40" i="14"/>
  <c r="I14" i="3"/>
  <c r="C24" i="3"/>
  <c r="D8" i="3" s="1"/>
  <c r="I8" i="3" s="1"/>
  <c r="G24" i="3"/>
  <c r="I23" i="2" s="1"/>
  <c r="I20" i="3" l="1"/>
  <c r="I19" i="3" l="1"/>
  <c r="I18" i="3" l="1"/>
  <c r="H21" i="3" l="1"/>
  <c r="H22" i="3"/>
  <c r="I17" i="3"/>
  <c r="J23" i="2" l="1"/>
  <c r="I21" i="3"/>
  <c r="I22" i="3"/>
  <c r="I15" i="3"/>
  <c r="E25" i="2"/>
  <c r="E24" i="2"/>
  <c r="D23" i="2"/>
  <c r="I24" i="3" l="1"/>
  <c r="I24" i="2"/>
  <c r="I25" i="2"/>
  <c r="I8" i="2"/>
  <c r="I4" i="4" s="1"/>
  <c r="A14" i="2"/>
  <c r="A16" i="2"/>
  <c r="B5" i="14" s="1"/>
  <c r="A13" i="2"/>
  <c r="I9" i="2"/>
  <c r="A11" i="2"/>
  <c r="A10" i="2"/>
  <c r="A9" i="2"/>
  <c r="B3" i="3" l="1"/>
  <c r="B3" i="14"/>
  <c r="A3" i="4"/>
  <c r="B2" i="14"/>
  <c r="E23" i="2"/>
  <c r="B5" i="3"/>
  <c r="B2" i="3"/>
  <c r="I16" i="4"/>
  <c r="G19" i="4" s="1"/>
  <c r="F16" i="4"/>
  <c r="G21" i="4" l="1"/>
  <c r="G25" i="2"/>
  <c r="E19" i="4"/>
  <c r="I27" i="2"/>
  <c r="I31" i="2" s="1"/>
  <c r="H23" i="2"/>
  <c r="J25" i="2" l="1"/>
  <c r="K25" i="2" s="1"/>
  <c r="H25" i="2"/>
  <c r="E21" i="4"/>
  <c r="I21" i="4" s="1"/>
  <c r="G24" i="2"/>
  <c r="K23" i="2"/>
  <c r="I33" i="2"/>
  <c r="H24" i="2" l="1"/>
  <c r="J24" i="2"/>
  <c r="K24" i="2" s="1"/>
  <c r="K27" i="2" s="1"/>
  <c r="J27" i="2" l="1"/>
  <c r="K31" i="2" s="1"/>
  <c r="K33" i="2" s="1"/>
  <c r="J34" i="2" l="1"/>
  <c r="C28" i="1"/>
  <c r="J33" i="2"/>
  <c r="J35" i="2" s="1"/>
  <c r="D12" i="13" l="1"/>
  <c r="E14" i="13" s="1"/>
  <c r="C35" i="1"/>
  <c r="C36" i="1"/>
  <c r="C38" i="1" s="1"/>
  <c r="H12" i="13" l="1"/>
  <c r="D14" i="13"/>
  <c r="K12" i="13"/>
  <c r="K14" i="13" s="1"/>
  <c r="F12" i="13"/>
  <c r="F14" i="13" l="1"/>
</calcChain>
</file>

<file path=xl/sharedStrings.xml><?xml version="1.0" encoding="utf-8"?>
<sst xmlns="http://schemas.openxmlformats.org/spreadsheetml/2006/main" count="191" uniqueCount="127">
  <si>
    <t xml:space="preserve">To, </t>
  </si>
  <si>
    <t>Sr. No.</t>
  </si>
  <si>
    <t>Description</t>
  </si>
  <si>
    <t>Amount</t>
  </si>
  <si>
    <t>Taxable Amount</t>
  </si>
  <si>
    <t>Add CGST@9%</t>
  </si>
  <si>
    <t>Add SGST@9%</t>
  </si>
  <si>
    <t xml:space="preserve">Net Payable Amount </t>
  </si>
  <si>
    <t>RCR ENTERPRISES</t>
  </si>
  <si>
    <t xml:space="preserve">     A/C :-           088405500559</t>
  </si>
  <si>
    <t xml:space="preserve">     IFSC :-          ICIC0000884</t>
  </si>
  <si>
    <t>`</t>
  </si>
  <si>
    <t>To,</t>
  </si>
  <si>
    <t>Unit</t>
  </si>
  <si>
    <t>W.O.</t>
  </si>
  <si>
    <t>Rate</t>
  </si>
  <si>
    <t>Previous</t>
  </si>
  <si>
    <t>This Bill</t>
  </si>
  <si>
    <t>Cumulative</t>
  </si>
  <si>
    <t>No.</t>
  </si>
  <si>
    <t>Qty.</t>
  </si>
  <si>
    <t>Quantity</t>
  </si>
  <si>
    <t>Sft.</t>
  </si>
  <si>
    <t>Nos.</t>
  </si>
  <si>
    <t xml:space="preserve">Total Amount </t>
  </si>
  <si>
    <t>ADD CGST @9%</t>
  </si>
  <si>
    <t>Gross Amount</t>
  </si>
  <si>
    <t>TDS 1% Less amount</t>
  </si>
  <si>
    <t xml:space="preserve">Balance </t>
  </si>
  <si>
    <t>Approximate Area</t>
  </si>
  <si>
    <t>CIVIL WORK</t>
  </si>
  <si>
    <t>@</t>
  </si>
  <si>
    <t>Sr.</t>
  </si>
  <si>
    <t>Particulars</t>
  </si>
  <si>
    <t>Work done</t>
  </si>
  <si>
    <t>of item</t>
  </si>
  <si>
    <t>19th slab</t>
  </si>
  <si>
    <t>Completion of LMR, OHWT  PARAPET WALL.</t>
  </si>
  <si>
    <t>TOTAL  AMOUNT</t>
  </si>
  <si>
    <t>Contractar : - RCR ENTERPRISES</t>
  </si>
  <si>
    <t>Date</t>
  </si>
  <si>
    <t>Challan No.</t>
  </si>
  <si>
    <t>Fitter</t>
  </si>
  <si>
    <t>Remarks</t>
  </si>
  <si>
    <t>Total (Nos)</t>
  </si>
  <si>
    <t>Nos</t>
  </si>
  <si>
    <t>TOTAL AMOUNT</t>
  </si>
  <si>
    <t>TAX INVOICE</t>
  </si>
  <si>
    <t>Sr. No</t>
  </si>
  <si>
    <t>.</t>
  </si>
  <si>
    <t>Description Contract basis work</t>
  </si>
  <si>
    <t xml:space="preserve">Hours </t>
  </si>
  <si>
    <t>Total Fitter Hours</t>
  </si>
  <si>
    <t>Total Lebour Hours</t>
  </si>
  <si>
    <t>SR. NO</t>
  </si>
  <si>
    <t>DATE</t>
  </si>
  <si>
    <t>RA BILLS</t>
  </si>
  <si>
    <t>BILL AMOUNT</t>
  </si>
  <si>
    <t>AMOUNT</t>
  </si>
  <si>
    <t>ACCOUNT CREDITED</t>
  </si>
  <si>
    <t>1%TDS BALANCE</t>
  </si>
  <si>
    <t>ADVANCE</t>
  </si>
  <si>
    <t>BALANCE</t>
  </si>
  <si>
    <t>GST AMOUNT</t>
  </si>
  <si>
    <t>Name of Work:-Reainforcemant Work.</t>
  </si>
  <si>
    <t>Part</t>
  </si>
  <si>
    <t>Sft</t>
  </si>
  <si>
    <t>Fitter Helfar</t>
  </si>
  <si>
    <t>FITTER HELFAR</t>
  </si>
  <si>
    <t>FITTER</t>
  </si>
  <si>
    <t>Dept. Fitter Helper Supply.</t>
  </si>
  <si>
    <t>Dept. Fitter Supply.</t>
  </si>
  <si>
    <t>Reainforcemant</t>
  </si>
  <si>
    <t>Work</t>
  </si>
  <si>
    <t xml:space="preserve">AUTHORISED SIGNATORY  </t>
  </si>
  <si>
    <t xml:space="preserve">  NAME :- RCR ENTERPRISES                                        FOR</t>
  </si>
  <si>
    <t>16th slab</t>
  </si>
  <si>
    <t>17th slab</t>
  </si>
  <si>
    <t>18th slab</t>
  </si>
  <si>
    <t>20th slab</t>
  </si>
  <si>
    <t>21st slab</t>
  </si>
  <si>
    <t>22nd slab</t>
  </si>
  <si>
    <t>NEFT</t>
  </si>
  <si>
    <t>Labour's Supply May 2026</t>
  </si>
  <si>
    <t>Date : 05-05-2026</t>
  </si>
  <si>
    <t>Invoice No. 007/2026-27</t>
  </si>
  <si>
    <t>Subject :- REF NO. : 01</t>
  </si>
  <si>
    <t>SSHIVAAY CONSTRUCTIONS.</t>
  </si>
  <si>
    <t>ADD :- Office:- SANT KRUPA CHS LTD., FLAT NO.5, PLOT NO. 78, SECTOR - 19</t>
  </si>
  <si>
    <t>NERUL (EAST), NAVI MUMBAI - 400706</t>
  </si>
  <si>
    <t>Pan No. : AEXFS8040P</t>
  </si>
  <si>
    <t>GST No. : 27AEXFS8040P1ZW</t>
  </si>
  <si>
    <t>Name Of Project :- BMC COLONY, BUILDING NO :- S3 VIKHROLI, MUMBAI</t>
  </si>
  <si>
    <t>SANDIP ONLINE</t>
  </si>
  <si>
    <t>CASH ANSAT</t>
  </si>
  <si>
    <t xml:space="preserve">05-05-2026 BILL NO.01 VIKHROLI PARK SITE. </t>
  </si>
  <si>
    <t>15th slab</t>
  </si>
  <si>
    <t>1st slab</t>
  </si>
  <si>
    <t>2nd slab</t>
  </si>
  <si>
    <t>3rd slab</t>
  </si>
  <si>
    <t>4th slab</t>
  </si>
  <si>
    <t>5th slab</t>
  </si>
  <si>
    <t>6th slab</t>
  </si>
  <si>
    <t>7th slab</t>
  </si>
  <si>
    <t>9th slab</t>
  </si>
  <si>
    <t>11th slab</t>
  </si>
  <si>
    <t>13th slab</t>
  </si>
  <si>
    <t>S2 Reinforcement Work Done.</t>
  </si>
  <si>
    <t>S3 Reinforcement Work Done.</t>
  </si>
  <si>
    <t>W. O. No. :-PARKSITE/SSHIVAAY/2026-27</t>
  </si>
  <si>
    <t>15th slab covring and slab Cheking work S3 building.</t>
  </si>
  <si>
    <t>15Tth slab casting work complit 1 fitter and s2 building drain slab steel cutting banding fitter 4</t>
  </si>
  <si>
    <t>BUA Building -S3 BUILDING</t>
  </si>
  <si>
    <t>BUA Building - S2 BUILDING</t>
  </si>
  <si>
    <t>15Th To 16Th Slab Reinforcement Work done Amount</t>
  </si>
  <si>
    <t>Completion of Terrace Slab 22th slab</t>
  </si>
  <si>
    <t>Completion of Terrace Slab 23th slab</t>
  </si>
  <si>
    <t>Raft Footing, Plint Beam</t>
  </si>
  <si>
    <t>8th slab Refuge</t>
  </si>
  <si>
    <t>10th slab Refuge</t>
  </si>
  <si>
    <t>12th slab Refuge</t>
  </si>
  <si>
    <t>14th slab Refuge</t>
  </si>
  <si>
    <t>16th slab Refuge</t>
  </si>
  <si>
    <t>18th slab Refuge</t>
  </si>
  <si>
    <t>20th slab Refuge</t>
  </si>
  <si>
    <t>RETENTION 2%</t>
  </si>
  <si>
    <t>LESS RETENTION@0%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</si>
</sst>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_ * #,##0.00_ ;_ * \-#,##0.00_ ;_ * &quot;-&quot;??_ ;_ @_ "/>
    <numFmt numFmtId="165" formatCode="0.0"/>
    <numFmt numFmtId="166" formatCode="&quot;₹&quot;\ #,##0.00"/>
    <numFmt numFmtId="167" formatCode="0.0000"/>
    <numFmt numFmtId="168" formatCode="0.000"/>
    <numFmt numFmtId="169" formatCode="[$-409]d\-mmm\-yyyy;@"/>
    <numFmt numFmtId="170" formatCode="0.0_);\(0.0\)"/>
    <numFmt numFmtId="171" formatCode="0_);\(0\)"/>
  </numFmts>
  <fonts count="6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rgb="FF00B050"/>
      <name val="Arial"/>
      <family val="2"/>
    </font>
    <font>
      <sz val="11"/>
      <color rgb="FF00B050"/>
      <name val="Arial"/>
      <family val="2"/>
    </font>
    <font>
      <sz val="10"/>
      <name val="Arial"/>
      <family val="2"/>
    </font>
    <font>
      <b/>
      <sz val="12"/>
      <name val="Century Gothic"/>
      <family val="2"/>
    </font>
    <font>
      <b/>
      <sz val="11"/>
      <name val="Century Gothic"/>
      <family val="2"/>
    </font>
    <font>
      <b/>
      <sz val="10"/>
      <name val="Century Gothic"/>
      <family val="2"/>
    </font>
    <font>
      <b/>
      <sz val="11"/>
      <name val="Calibri"/>
      <family val="2"/>
      <scheme val="minor"/>
    </font>
    <font>
      <sz val="8"/>
      <name val="Century Gothic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8"/>
      <name val="Century Gothic"/>
      <family val="2"/>
    </font>
    <font>
      <b/>
      <sz val="8"/>
      <name val="Calibri"/>
      <family val="2"/>
      <scheme val="minor"/>
    </font>
    <font>
      <b/>
      <sz val="11"/>
      <color rgb="FF00B0F0"/>
      <name val="Century Gothic"/>
      <family val="2"/>
    </font>
    <font>
      <b/>
      <sz val="11"/>
      <color theme="7"/>
      <name val="Century Gothic"/>
      <family val="2"/>
    </font>
    <font>
      <sz val="11"/>
      <color rgb="FF7030A0"/>
      <name val="Calibri"/>
      <family val="2"/>
      <scheme val="minor"/>
    </font>
    <font>
      <b/>
      <sz val="8"/>
      <color rgb="FF7030A0"/>
      <name val="Century Gothic"/>
      <family val="2"/>
    </font>
    <font>
      <b/>
      <sz val="8"/>
      <color rgb="FF7030A0"/>
      <name val="Calibri"/>
      <family val="2"/>
      <scheme val="minor"/>
    </font>
    <font>
      <b/>
      <sz val="9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0"/>
      <color rgb="FF7030A0"/>
      <name val="Calibri"/>
      <family val="2"/>
      <scheme val="minor"/>
    </font>
    <font>
      <b/>
      <sz val="10"/>
      <color theme="9" tint="-0.249977111117893"/>
      <name val="Calibri"/>
      <family val="2"/>
      <scheme val="minor"/>
    </font>
    <font>
      <b/>
      <sz val="10"/>
      <color rgb="FF00B050"/>
      <name val="Calibri"/>
      <family val="2"/>
      <scheme val="minor"/>
    </font>
    <font>
      <b/>
      <sz val="10"/>
      <color rgb="FF00B0F0"/>
      <name val="Calibri"/>
      <family val="2"/>
      <scheme val="minor"/>
    </font>
    <font>
      <b/>
      <sz val="10"/>
      <color theme="9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388600"/>
      <name val="Calibri"/>
      <family val="2"/>
      <scheme val="minor"/>
    </font>
    <font>
      <b/>
      <sz val="11"/>
      <color rgb="FF388600"/>
      <name val="Calibri"/>
      <family val="2"/>
      <scheme val="minor"/>
    </font>
    <font>
      <b/>
      <sz val="10"/>
      <color theme="6"/>
      <name val="Calibri"/>
      <family val="2"/>
      <scheme val="minor"/>
    </font>
    <font>
      <b/>
      <sz val="10"/>
      <color rgb="FF388600"/>
      <name val="Calibri"/>
      <family val="2"/>
      <scheme val="minor"/>
    </font>
    <font>
      <b/>
      <sz val="10"/>
      <color theme="8" tint="-0.249977111117893"/>
      <name val="Calibri"/>
      <family val="2"/>
      <scheme val="minor"/>
    </font>
    <font>
      <b/>
      <sz val="9"/>
      <color rgb="FF388600"/>
      <name val="Calibri"/>
      <family val="2"/>
      <scheme val="minor"/>
    </font>
    <font>
      <sz val="9"/>
      <color rgb="FF388600"/>
      <name val="Calibri"/>
      <family val="2"/>
      <scheme val="minor"/>
    </font>
    <font>
      <b/>
      <sz val="9"/>
      <color theme="9"/>
      <name val="Calibri"/>
      <family val="2"/>
      <scheme val="minor"/>
    </font>
    <font>
      <sz val="9"/>
      <color theme="9"/>
      <name val="Calibri"/>
      <family val="2"/>
      <scheme val="minor"/>
    </font>
    <font>
      <b/>
      <sz val="14"/>
      <color theme="9" tint="-0.499984740745262"/>
      <name val="Calibri"/>
      <family val="2"/>
      <scheme val="minor"/>
    </font>
    <font>
      <b/>
      <sz val="11"/>
      <color theme="9" tint="-0.499984740745262"/>
      <name val="Arial"/>
      <family val="2"/>
    </font>
    <font>
      <sz val="11"/>
      <color theme="9" tint="-0.499984740745262"/>
      <name val="Arial"/>
      <family val="2"/>
    </font>
    <font>
      <b/>
      <sz val="12"/>
      <color theme="9" tint="-0.499984740745262"/>
      <name val="Arial"/>
      <family val="2"/>
    </font>
    <font>
      <sz val="8"/>
      <color theme="1"/>
      <name val="Arial"/>
      <family val="2"/>
    </font>
    <font>
      <b/>
      <sz val="9"/>
      <color rgb="FF7030A0"/>
      <name val="Calibri"/>
      <family val="2"/>
      <scheme val="minor"/>
    </font>
    <font>
      <b/>
      <sz val="8"/>
      <color theme="1"/>
      <name val="Arial"/>
      <family val="2"/>
    </font>
    <font>
      <b/>
      <sz val="11"/>
      <color theme="9"/>
      <name val="Calibri"/>
      <family val="2"/>
      <scheme val="minor"/>
    </font>
    <font>
      <sz val="11"/>
      <color theme="9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7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/>
      <right style="thin">
        <color auto="1"/>
      </right>
      <top style="thin">
        <color indexed="64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/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indexed="64"/>
      </top>
      <bottom style="hair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hair">
        <color auto="1"/>
      </bottom>
      <diagonal/>
    </border>
    <border>
      <left style="medium">
        <color indexed="64"/>
      </left>
      <right style="thin">
        <color auto="1"/>
      </right>
      <top style="hair">
        <color auto="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" fillId="0" borderId="0"/>
    <xf numFmtId="0" fontId="10" fillId="0" borderId="0"/>
  </cellStyleXfs>
  <cellXfs count="302">
    <xf numFmtId="0" fontId="0" fillId="0" borderId="0" xfId="0"/>
    <xf numFmtId="0" fontId="4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0" fillId="0" borderId="30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3" xfId="0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32" xfId="0" applyFont="1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4" xfId="0" applyBorder="1"/>
    <xf numFmtId="166" fontId="3" fillId="0" borderId="4" xfId="0" applyNumberFormat="1" applyFont="1" applyBorder="1" applyAlignment="1">
      <alignment horizontal="center"/>
    </xf>
    <xf numFmtId="0" fontId="0" fillId="0" borderId="4" xfId="0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2" fontId="16" fillId="0" borderId="4" xfId="0" applyNumberFormat="1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 wrapText="1"/>
    </xf>
    <xf numFmtId="0" fontId="21" fillId="0" borderId="4" xfId="0" applyFont="1" applyBorder="1" applyAlignment="1">
      <alignment horizontal="center" vertical="center" wrapText="1"/>
    </xf>
    <xf numFmtId="9" fontId="0" fillId="0" borderId="4" xfId="2" applyFont="1" applyBorder="1" applyAlignment="1">
      <alignment horizontal="center" vertical="center"/>
    </xf>
    <xf numFmtId="2" fontId="0" fillId="0" borderId="4" xfId="2" applyNumberFormat="1" applyFont="1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6" fillId="0" borderId="19" xfId="0" applyFont="1" applyBorder="1" applyAlignment="1">
      <alignment horizontal="center"/>
    </xf>
    <xf numFmtId="0" fontId="16" fillId="0" borderId="20" xfId="0" applyFont="1" applyBorder="1" applyAlignment="1">
      <alignment horizontal="center"/>
    </xf>
    <xf numFmtId="0" fontId="16" fillId="0" borderId="27" xfId="0" applyFont="1" applyBorder="1" applyAlignment="1">
      <alignment horizontal="center"/>
    </xf>
    <xf numFmtId="0" fontId="16" fillId="0" borderId="28" xfId="0" applyFont="1" applyBorder="1" applyAlignment="1">
      <alignment horizontal="center"/>
    </xf>
    <xf numFmtId="2" fontId="0" fillId="0" borderId="0" xfId="0" applyNumberFormat="1"/>
    <xf numFmtId="168" fontId="0" fillId="0" borderId="0" xfId="0" applyNumberFormat="1"/>
    <xf numFmtId="167" fontId="0" fillId="0" borderId="0" xfId="0" applyNumberFormat="1"/>
    <xf numFmtId="0" fontId="0" fillId="0" borderId="32" xfId="0" applyBorder="1" applyAlignment="1">
      <alignment horizontal="center" vertical="center"/>
    </xf>
    <xf numFmtId="2" fontId="3" fillId="0" borderId="4" xfId="0" applyNumberFormat="1" applyFont="1" applyBorder="1" applyAlignment="1">
      <alignment horizontal="center" vertical="center"/>
    </xf>
    <xf numFmtId="0" fontId="16" fillId="0" borderId="26" xfId="0" applyFont="1" applyBorder="1" applyAlignment="1">
      <alignment horizontal="center"/>
    </xf>
    <xf numFmtId="0" fontId="24" fillId="0" borderId="56" xfId="0" applyFont="1" applyBorder="1" applyAlignment="1">
      <alignment horizontal="center" vertical="center"/>
    </xf>
    <xf numFmtId="0" fontId="24" fillId="0" borderId="9" xfId="0" applyFont="1" applyBorder="1" applyAlignment="1">
      <alignment horizontal="center" vertical="center" wrapText="1"/>
    </xf>
    <xf numFmtId="0" fontId="24" fillId="0" borderId="57" xfId="0" applyFont="1" applyBorder="1" applyAlignment="1">
      <alignment horizontal="center" vertical="center" wrapText="1"/>
    </xf>
    <xf numFmtId="0" fontId="24" fillId="0" borderId="57" xfId="0" applyFont="1" applyBorder="1" applyAlignment="1">
      <alignment horizontal="center" vertical="center"/>
    </xf>
    <xf numFmtId="0" fontId="24" fillId="0" borderId="7" xfId="0" applyFont="1" applyBorder="1" applyAlignment="1">
      <alignment horizontal="center" vertical="center" wrapText="1"/>
    </xf>
    <xf numFmtId="0" fontId="25" fillId="0" borderId="58" xfId="0" applyFont="1" applyBorder="1" applyAlignment="1">
      <alignment vertical="center"/>
    </xf>
    <xf numFmtId="0" fontId="16" fillId="0" borderId="22" xfId="0" applyFont="1" applyBorder="1" applyAlignment="1">
      <alignment horizontal="center"/>
    </xf>
    <xf numFmtId="0" fontId="16" fillId="0" borderId="23" xfId="0" applyFont="1" applyBorder="1" applyAlignment="1">
      <alignment horizontal="center"/>
    </xf>
    <xf numFmtId="0" fontId="16" fillId="0" borderId="54" xfId="0" applyFont="1" applyBorder="1" applyAlignment="1">
      <alignment horizontal="center"/>
    </xf>
    <xf numFmtId="0" fontId="15" fillId="0" borderId="4" xfId="0" applyFont="1" applyBorder="1" applyAlignment="1">
      <alignment horizontal="left" vertical="center" wrapText="1"/>
    </xf>
    <xf numFmtId="0" fontId="15" fillId="0" borderId="4" xfId="0" applyFont="1" applyBorder="1" applyAlignment="1">
      <alignment horizontal="center" vertical="center"/>
    </xf>
    <xf numFmtId="0" fontId="24" fillId="0" borderId="4" xfId="0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14" fontId="15" fillId="0" borderId="32" xfId="0" applyNumberFormat="1" applyFont="1" applyBorder="1" applyAlignment="1">
      <alignment horizontal="center" vertical="center"/>
    </xf>
    <xf numFmtId="0" fontId="23" fillId="0" borderId="33" xfId="0" applyFont="1" applyBorder="1" applyAlignment="1">
      <alignment vertical="center"/>
    </xf>
    <xf numFmtId="0" fontId="12" fillId="0" borderId="43" xfId="0" applyFont="1" applyBorder="1" applyAlignment="1">
      <alignment horizontal="center"/>
    </xf>
    <xf numFmtId="1" fontId="12" fillId="0" borderId="43" xfId="0" applyNumberFormat="1" applyFont="1" applyBorder="1" applyAlignment="1">
      <alignment horizontal="center"/>
    </xf>
    <xf numFmtId="0" fontId="16" fillId="0" borderId="15" xfId="0" applyFont="1" applyBorder="1" applyAlignment="1">
      <alignment horizontal="center"/>
    </xf>
    <xf numFmtId="0" fontId="16" fillId="0" borderId="16" xfId="0" applyFont="1" applyBorder="1" applyAlignment="1">
      <alignment horizontal="center"/>
    </xf>
    <xf numFmtId="0" fontId="12" fillId="0" borderId="42" xfId="0" applyFont="1" applyBorder="1" applyAlignment="1">
      <alignment horizontal="center"/>
    </xf>
    <xf numFmtId="0" fontId="14" fillId="0" borderId="44" xfId="0" applyFont="1" applyBorder="1"/>
    <xf numFmtId="0" fontId="16" fillId="0" borderId="55" xfId="0" applyFont="1" applyBorder="1" applyAlignment="1">
      <alignment horizontal="center"/>
    </xf>
    <xf numFmtId="0" fontId="12" fillId="0" borderId="62" xfId="0" applyFont="1" applyBorder="1" applyAlignment="1">
      <alignment horizontal="center"/>
    </xf>
    <xf numFmtId="0" fontId="12" fillId="0" borderId="63" xfId="0" applyFont="1" applyBorder="1" applyAlignment="1">
      <alignment horizontal="center"/>
    </xf>
    <xf numFmtId="2" fontId="11" fillId="0" borderId="63" xfId="0" applyNumberFormat="1" applyFont="1" applyBorder="1" applyAlignment="1">
      <alignment horizontal="center"/>
    </xf>
    <xf numFmtId="2" fontId="26" fillId="0" borderId="63" xfId="0" applyNumberFormat="1" applyFont="1" applyBorder="1" applyAlignment="1">
      <alignment horizontal="center" vertical="center"/>
    </xf>
    <xf numFmtId="2" fontId="27" fillId="0" borderId="63" xfId="0" applyNumberFormat="1" applyFont="1" applyBorder="1" applyAlignment="1">
      <alignment horizontal="center" vertical="center"/>
    </xf>
    <xf numFmtId="0" fontId="12" fillId="0" borderId="64" xfId="0" applyFont="1" applyBorder="1" applyAlignment="1">
      <alignment horizontal="center"/>
    </xf>
    <xf numFmtId="0" fontId="0" fillId="0" borderId="46" xfId="0" applyBorder="1"/>
    <xf numFmtId="0" fontId="0" fillId="0" borderId="32" xfId="0" applyBorder="1"/>
    <xf numFmtId="166" fontId="19" fillId="0" borderId="33" xfId="0" applyNumberFormat="1" applyFont="1" applyBorder="1" applyAlignment="1">
      <alignment horizontal="center"/>
    </xf>
    <xf numFmtId="0" fontId="3" fillId="0" borderId="32" xfId="0" applyFont="1" applyBorder="1"/>
    <xf numFmtId="166" fontId="20" fillId="4" borderId="33" xfId="0" applyNumberFormat="1" applyFont="1" applyFill="1" applyBorder="1" applyAlignment="1">
      <alignment horizontal="center"/>
    </xf>
    <xf numFmtId="4" fontId="16" fillId="0" borderId="33" xfId="0" applyNumberFormat="1" applyFont="1" applyBorder="1" applyAlignment="1">
      <alignment horizontal="center" vertical="center"/>
    </xf>
    <xf numFmtId="2" fontId="0" fillId="0" borderId="33" xfId="0" applyNumberFormat="1" applyBorder="1" applyAlignment="1">
      <alignment horizontal="center" vertical="center"/>
    </xf>
    <xf numFmtId="2" fontId="0" fillId="0" borderId="36" xfId="0" applyNumberFormat="1" applyBorder="1" applyAlignment="1">
      <alignment horizontal="center"/>
    </xf>
    <xf numFmtId="2" fontId="0" fillId="0" borderId="37" xfId="0" applyNumberFormat="1" applyBorder="1" applyAlignment="1">
      <alignment horizontal="center"/>
    </xf>
    <xf numFmtId="0" fontId="30" fillId="5" borderId="46" xfId="0" applyFont="1" applyFill="1" applyBorder="1" applyAlignment="1">
      <alignment horizontal="center" vertical="center" wrapText="1"/>
    </xf>
    <xf numFmtId="0" fontId="30" fillId="5" borderId="47" xfId="0" applyFont="1" applyFill="1" applyBorder="1" applyAlignment="1">
      <alignment horizontal="center" vertical="center"/>
    </xf>
    <xf numFmtId="0" fontId="30" fillId="5" borderId="47" xfId="0" applyFont="1" applyFill="1" applyBorder="1" applyAlignment="1">
      <alignment horizontal="center" vertical="center" wrapText="1"/>
    </xf>
    <xf numFmtId="0" fontId="30" fillId="5" borderId="48" xfId="0" applyFont="1" applyFill="1" applyBorder="1" applyAlignment="1">
      <alignment horizontal="center" vertical="center"/>
    </xf>
    <xf numFmtId="0" fontId="22" fillId="0" borderId="32" xfId="0" applyFont="1" applyBorder="1" applyAlignment="1">
      <alignment horizontal="center" vertical="center"/>
    </xf>
    <xf numFmtId="169" fontId="34" fillId="0" borderId="4" xfId="0" applyNumberFormat="1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1" fontId="22" fillId="0" borderId="4" xfId="0" applyNumberFormat="1" applyFont="1" applyBorder="1" applyAlignment="1">
      <alignment horizontal="center" vertical="center"/>
    </xf>
    <xf numFmtId="14" fontId="34" fillId="0" borderId="4" xfId="0" applyNumberFormat="1" applyFont="1" applyBorder="1" applyAlignment="1">
      <alignment horizontal="center" vertical="center"/>
    </xf>
    <xf numFmtId="2" fontId="33" fillId="0" borderId="4" xfId="0" applyNumberFormat="1" applyFont="1" applyBorder="1" applyAlignment="1">
      <alignment horizontal="center" vertical="center"/>
    </xf>
    <xf numFmtId="2" fontId="37" fillId="0" borderId="4" xfId="0" applyNumberFormat="1" applyFont="1" applyBorder="1" applyAlignment="1">
      <alignment horizontal="center" vertical="center"/>
    </xf>
    <xf numFmtId="0" fontId="21" fillId="0" borderId="4" xfId="0" applyFont="1" applyBorder="1" applyAlignment="1">
      <alignment horizontal="center"/>
    </xf>
    <xf numFmtId="0" fontId="21" fillId="0" borderId="33" xfId="0" applyFont="1" applyBorder="1" applyAlignment="1">
      <alignment horizontal="center"/>
    </xf>
    <xf numFmtId="0" fontId="21" fillId="0" borderId="32" xfId="0" applyFont="1" applyBorder="1" applyAlignment="1">
      <alignment horizontal="center"/>
    </xf>
    <xf numFmtId="0" fontId="21" fillId="0" borderId="4" xfId="0" applyFont="1" applyBorder="1" applyAlignment="1">
      <alignment horizontal="left"/>
    </xf>
    <xf numFmtId="0" fontId="21" fillId="0" borderId="32" xfId="0" applyFont="1" applyBorder="1" applyAlignment="1">
      <alignment horizontal="center" vertical="center"/>
    </xf>
    <xf numFmtId="0" fontId="38" fillId="7" borderId="4" xfId="0" applyFont="1" applyFill="1" applyBorder="1" applyAlignment="1">
      <alignment horizontal="left" vertical="center" wrapText="1"/>
    </xf>
    <xf numFmtId="0" fontId="21" fillId="0" borderId="4" xfId="0" applyFont="1" applyBorder="1" applyAlignment="1">
      <alignment horizontal="center" vertical="center"/>
    </xf>
    <xf numFmtId="1" fontId="38" fillId="0" borderId="4" xfId="0" applyNumberFormat="1" applyFont="1" applyBorder="1" applyAlignment="1">
      <alignment horizontal="center" vertical="center"/>
    </xf>
    <xf numFmtId="1" fontId="38" fillId="0" borderId="34" xfId="0" applyNumberFormat="1" applyFont="1" applyBorder="1" applyAlignment="1">
      <alignment horizontal="center" vertical="center"/>
    </xf>
    <xf numFmtId="0" fontId="38" fillId="8" borderId="4" xfId="0" applyFont="1" applyFill="1" applyBorder="1" applyAlignment="1">
      <alignment horizontal="left" vertical="center" wrapText="1"/>
    </xf>
    <xf numFmtId="2" fontId="38" fillId="0" borderId="4" xfId="0" applyNumberFormat="1" applyFont="1" applyBorder="1" applyAlignment="1">
      <alignment horizontal="center" vertical="center"/>
    </xf>
    <xf numFmtId="0" fontId="38" fillId="8" borderId="4" xfId="0" applyFont="1" applyFill="1" applyBorder="1" applyAlignment="1">
      <alignment horizontal="left" vertical="center"/>
    </xf>
    <xf numFmtId="1" fontId="21" fillId="0" borderId="4" xfId="0" applyNumberFormat="1" applyFont="1" applyBorder="1" applyAlignment="1">
      <alignment horizontal="center" vertical="center"/>
    </xf>
    <xf numFmtId="0" fontId="21" fillId="0" borderId="40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/>
    </xf>
    <xf numFmtId="0" fontId="21" fillId="0" borderId="1" xfId="0" applyFont="1" applyBorder="1" applyAlignment="1">
      <alignment horizontal="center" vertical="center"/>
    </xf>
    <xf numFmtId="0" fontId="38" fillId="0" borderId="1" xfId="0" applyFont="1" applyBorder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0" fontId="21" fillId="0" borderId="15" xfId="0" applyFont="1" applyBorder="1" applyAlignment="1">
      <alignment horizontal="center"/>
    </xf>
    <xf numFmtId="0" fontId="38" fillId="0" borderId="17" xfId="0" applyFont="1" applyBorder="1" applyAlignment="1">
      <alignment horizontal="center"/>
    </xf>
    <xf numFmtId="1" fontId="39" fillId="0" borderId="17" xfId="0" applyNumberFormat="1" applyFont="1" applyBorder="1"/>
    <xf numFmtId="0" fontId="21" fillId="0" borderId="42" xfId="0" applyFont="1" applyBorder="1" applyAlignment="1">
      <alignment horizontal="center"/>
    </xf>
    <xf numFmtId="0" fontId="21" fillId="0" borderId="43" xfId="0" applyFont="1" applyBorder="1" applyAlignment="1">
      <alignment horizontal="center"/>
    </xf>
    <xf numFmtId="0" fontId="38" fillId="0" borderId="32" xfId="0" applyFont="1" applyBorder="1" applyAlignment="1">
      <alignment horizontal="center"/>
    </xf>
    <xf numFmtId="0" fontId="38" fillId="0" borderId="4" xfId="0" applyFont="1" applyBorder="1" applyAlignment="1">
      <alignment horizontal="center"/>
    </xf>
    <xf numFmtId="2" fontId="38" fillId="0" borderId="4" xfId="0" applyNumberFormat="1" applyFont="1" applyBorder="1" applyAlignment="1">
      <alignment horizontal="center"/>
    </xf>
    <xf numFmtId="0" fontId="21" fillId="0" borderId="35" xfId="0" applyFont="1" applyBorder="1" applyAlignment="1">
      <alignment horizontal="center"/>
    </xf>
    <xf numFmtId="0" fontId="38" fillId="0" borderId="36" xfId="0" applyFont="1" applyBorder="1" applyAlignment="1">
      <alignment horizontal="center"/>
    </xf>
    <xf numFmtId="0" fontId="21" fillId="0" borderId="36" xfId="0" applyFont="1" applyBorder="1" applyAlignment="1">
      <alignment horizontal="center"/>
    </xf>
    <xf numFmtId="0" fontId="21" fillId="0" borderId="0" xfId="0" applyFont="1"/>
    <xf numFmtId="2" fontId="42" fillId="0" borderId="4" xfId="0" applyNumberFormat="1" applyFont="1" applyBorder="1" applyAlignment="1">
      <alignment horizontal="center" vertical="center"/>
    </xf>
    <xf numFmtId="2" fontId="43" fillId="0" borderId="4" xfId="0" applyNumberFormat="1" applyFont="1" applyBorder="1" applyAlignment="1">
      <alignment horizontal="center" vertical="center"/>
    </xf>
    <xf numFmtId="2" fontId="44" fillId="0" borderId="4" xfId="0" applyNumberFormat="1" applyFont="1" applyBorder="1" applyAlignment="1">
      <alignment horizontal="center" vertical="center"/>
    </xf>
    <xf numFmtId="2" fontId="45" fillId="0" borderId="4" xfId="0" applyNumberFormat="1" applyFont="1" applyBorder="1" applyAlignment="1">
      <alignment horizontal="center" vertical="center"/>
    </xf>
    <xf numFmtId="0" fontId="37" fillId="0" borderId="33" xfId="0" applyFont="1" applyBorder="1" applyAlignment="1">
      <alignment horizontal="center" vertical="center"/>
    </xf>
    <xf numFmtId="2" fontId="37" fillId="0" borderId="33" xfId="0" applyNumberFormat="1" applyFont="1" applyBorder="1" applyAlignment="1">
      <alignment horizontal="center" vertical="center"/>
    </xf>
    <xf numFmtId="2" fontId="46" fillId="0" borderId="4" xfId="0" applyNumberFormat="1" applyFont="1" applyBorder="1" applyAlignment="1">
      <alignment horizontal="center" vertical="center"/>
    </xf>
    <xf numFmtId="2" fontId="47" fillId="0" borderId="4" xfId="0" applyNumberFormat="1" applyFont="1" applyBorder="1" applyAlignment="1">
      <alignment horizontal="center" vertical="center"/>
    </xf>
    <xf numFmtId="0" fontId="47" fillId="0" borderId="1" xfId="0" applyFont="1" applyBorder="1" applyAlignment="1">
      <alignment horizontal="center" vertical="center"/>
    </xf>
    <xf numFmtId="2" fontId="39" fillId="0" borderId="1" xfId="2" applyNumberFormat="1" applyFont="1" applyBorder="1" applyAlignment="1">
      <alignment horizontal="center" vertical="center"/>
    </xf>
    <xf numFmtId="2" fontId="47" fillId="0" borderId="1" xfId="0" applyNumberFormat="1" applyFont="1" applyBorder="1" applyAlignment="1">
      <alignment horizontal="center" vertical="center"/>
    </xf>
    <xf numFmtId="2" fontId="47" fillId="0" borderId="17" xfId="0" applyNumberFormat="1" applyFont="1" applyBorder="1" applyAlignment="1">
      <alignment horizontal="center" vertical="center"/>
    </xf>
    <xf numFmtId="0" fontId="48" fillId="0" borderId="43" xfId="0" applyFont="1" applyBorder="1" applyAlignment="1">
      <alignment horizontal="center"/>
    </xf>
    <xf numFmtId="0" fontId="48" fillId="0" borderId="4" xfId="0" applyFont="1" applyBorder="1" applyAlignment="1">
      <alignment horizontal="center"/>
    </xf>
    <xf numFmtId="2" fontId="48" fillId="0" borderId="4" xfId="0" applyNumberFormat="1" applyFont="1" applyBorder="1" applyAlignment="1">
      <alignment horizontal="center"/>
    </xf>
    <xf numFmtId="2" fontId="49" fillId="0" borderId="4" xfId="0" applyNumberFormat="1" applyFont="1" applyBorder="1" applyAlignment="1">
      <alignment horizontal="center" vertical="center"/>
    </xf>
    <xf numFmtId="0" fontId="50" fillId="0" borderId="1" xfId="0" applyFont="1" applyBorder="1" applyAlignment="1">
      <alignment horizontal="center" vertical="center"/>
    </xf>
    <xf numFmtId="2" fontId="49" fillId="0" borderId="17" xfId="0" applyNumberFormat="1" applyFont="1" applyBorder="1" applyAlignment="1">
      <alignment horizontal="center" vertical="center"/>
    </xf>
    <xf numFmtId="0" fontId="50" fillId="0" borderId="43" xfId="0" applyFont="1" applyBorder="1" applyAlignment="1">
      <alignment horizontal="center"/>
    </xf>
    <xf numFmtId="0" fontId="50" fillId="0" borderId="4" xfId="0" applyFont="1" applyBorder="1" applyAlignment="1">
      <alignment horizontal="center"/>
    </xf>
    <xf numFmtId="2" fontId="49" fillId="0" borderId="4" xfId="0" applyNumberFormat="1" applyFont="1" applyBorder="1" applyAlignment="1">
      <alignment horizontal="center"/>
    </xf>
    <xf numFmtId="2" fontId="49" fillId="0" borderId="36" xfId="0" applyNumberFormat="1" applyFont="1" applyBorder="1" applyAlignment="1">
      <alignment horizontal="center" vertical="center"/>
    </xf>
    <xf numFmtId="2" fontId="49" fillId="0" borderId="33" xfId="0" applyNumberFormat="1" applyFont="1" applyBorder="1" applyAlignment="1">
      <alignment horizontal="center" vertical="center"/>
    </xf>
    <xf numFmtId="2" fontId="49" fillId="0" borderId="41" xfId="0" applyNumberFormat="1" applyFont="1" applyBorder="1" applyAlignment="1">
      <alignment horizontal="center" vertical="center"/>
    </xf>
    <xf numFmtId="2" fontId="49" fillId="0" borderId="18" xfId="0" applyNumberFormat="1" applyFont="1" applyBorder="1" applyAlignment="1">
      <alignment horizontal="center" vertical="center"/>
    </xf>
    <xf numFmtId="0" fontId="50" fillId="0" borderId="44" xfId="0" applyFont="1" applyBorder="1" applyAlignment="1">
      <alignment horizontal="center"/>
    </xf>
    <xf numFmtId="0" fontId="50" fillId="0" borderId="33" xfId="0" applyFont="1" applyBorder="1" applyAlignment="1">
      <alignment horizontal="center"/>
    </xf>
    <xf numFmtId="2" fontId="50" fillId="0" borderId="33" xfId="0" applyNumberFormat="1" applyFont="1" applyBorder="1" applyAlignment="1">
      <alignment horizontal="center"/>
    </xf>
    <xf numFmtId="2" fontId="49" fillId="0" borderId="33" xfId="0" applyNumberFormat="1" applyFont="1" applyBorder="1" applyAlignment="1">
      <alignment horizontal="center"/>
    </xf>
    <xf numFmtId="0" fontId="50" fillId="0" borderId="37" xfId="0" applyFont="1" applyBorder="1" applyAlignment="1">
      <alignment horizontal="center"/>
    </xf>
    <xf numFmtId="0" fontId="35" fillId="0" borderId="4" xfId="0" applyFont="1" applyBorder="1" applyAlignment="1">
      <alignment horizontal="center" vertical="center"/>
    </xf>
    <xf numFmtId="0" fontId="55" fillId="0" borderId="3" xfId="0" applyFont="1" applyBorder="1" applyAlignment="1">
      <alignment vertical="center"/>
    </xf>
    <xf numFmtId="0" fontId="30" fillId="2" borderId="42" xfId="0" applyFont="1" applyFill="1" applyBorder="1" applyAlignment="1">
      <alignment horizontal="center" vertical="center" wrapText="1"/>
    </xf>
    <xf numFmtId="0" fontId="30" fillId="2" borderId="43" xfId="0" applyFont="1" applyFill="1" applyBorder="1" applyAlignment="1">
      <alignment horizontal="center" vertical="center"/>
    </xf>
    <xf numFmtId="0" fontId="30" fillId="2" borderId="43" xfId="0" applyFont="1" applyFill="1" applyBorder="1" applyAlignment="1">
      <alignment horizontal="center" vertical="center" wrapText="1"/>
    </xf>
    <xf numFmtId="0" fontId="30" fillId="2" borderId="44" xfId="0" applyFont="1" applyFill="1" applyBorder="1" applyAlignment="1">
      <alignment horizontal="center" vertical="center"/>
    </xf>
    <xf numFmtId="169" fontId="56" fillId="2" borderId="43" xfId="0" applyNumberFormat="1" applyFont="1" applyFill="1" applyBorder="1" applyAlignment="1">
      <alignment horizontal="center" vertical="center"/>
    </xf>
    <xf numFmtId="2" fontId="35" fillId="0" borderId="4" xfId="0" applyNumberFormat="1" applyFont="1" applyBorder="1" applyAlignment="1">
      <alignment horizontal="center" vertical="center"/>
    </xf>
    <xf numFmtId="0" fontId="5" fillId="0" borderId="13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14" xfId="0" applyFont="1" applyBorder="1" applyAlignment="1">
      <alignment vertical="center"/>
    </xf>
    <xf numFmtId="0" fontId="6" fillId="0" borderId="13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6" fillId="0" borderId="14" xfId="0" applyFont="1" applyBorder="1" applyAlignment="1">
      <alignment vertical="center"/>
    </xf>
    <xf numFmtId="0" fontId="3" fillId="0" borderId="14" xfId="0" applyFont="1" applyBorder="1"/>
    <xf numFmtId="0" fontId="7" fillId="0" borderId="13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5" fillId="0" borderId="66" xfId="0" applyFont="1" applyBorder="1" applyAlignment="1">
      <alignment vertical="center"/>
    </xf>
    <xf numFmtId="2" fontId="8" fillId="0" borderId="67" xfId="0" applyNumberFormat="1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2" fontId="51" fillId="0" borderId="33" xfId="0" applyNumberFormat="1" applyFont="1" applyBorder="1" applyAlignment="1">
      <alignment horizontal="center"/>
    </xf>
    <xf numFmtId="165" fontId="9" fillId="0" borderId="67" xfId="0" applyNumberFormat="1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5" fillId="0" borderId="19" xfId="0" applyFont="1" applyBorder="1" applyAlignment="1">
      <alignment vertical="center"/>
    </xf>
    <xf numFmtId="2" fontId="52" fillId="0" borderId="67" xfId="0" applyNumberFormat="1" applyFont="1" applyBorder="1" applyAlignment="1">
      <alignment horizontal="center" vertical="center"/>
    </xf>
    <xf numFmtId="0" fontId="5" fillId="0" borderId="68" xfId="0" applyFont="1" applyBorder="1" applyAlignment="1">
      <alignment vertical="center"/>
    </xf>
    <xf numFmtId="165" fontId="53" fillId="0" borderId="67" xfId="0" applyNumberFormat="1" applyFont="1" applyBorder="1" applyAlignment="1">
      <alignment horizontal="center" vertical="center"/>
    </xf>
    <xf numFmtId="0" fontId="4" fillId="0" borderId="32" xfId="0" applyFont="1" applyBorder="1" applyAlignment="1">
      <alignment vertical="center"/>
    </xf>
    <xf numFmtId="2" fontId="54" fillId="0" borderId="67" xfId="0" applyNumberFormat="1" applyFont="1" applyBorder="1" applyAlignment="1">
      <alignment horizontal="center" vertical="center"/>
    </xf>
    <xf numFmtId="0" fontId="5" fillId="0" borderId="69" xfId="0" applyFont="1" applyBorder="1" applyAlignment="1">
      <alignment vertical="center"/>
    </xf>
    <xf numFmtId="0" fontId="5" fillId="0" borderId="70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5" fillId="0" borderId="12" xfId="0" applyFont="1" applyBorder="1" applyAlignment="1">
      <alignment vertical="center"/>
    </xf>
    <xf numFmtId="0" fontId="10" fillId="0" borderId="0" xfId="3" applyAlignment="1">
      <alignment vertical="center"/>
    </xf>
    <xf numFmtId="0" fontId="10" fillId="0" borderId="0" xfId="3" applyAlignment="1">
      <alignment horizontal="right" vertical="center"/>
    </xf>
    <xf numFmtId="0" fontId="5" fillId="0" borderId="14" xfId="0" applyFont="1" applyBorder="1" applyAlignment="1">
      <alignment horizontal="right" vertical="center"/>
    </xf>
    <xf numFmtId="0" fontId="5" fillId="0" borderId="71" xfId="0" applyFont="1" applyBorder="1" applyAlignment="1">
      <alignment vertical="center"/>
    </xf>
    <xf numFmtId="0" fontId="41" fillId="0" borderId="13" xfId="0" applyFont="1" applyBorder="1"/>
    <xf numFmtId="0" fontId="35" fillId="2" borderId="43" xfId="0" applyFont="1" applyFill="1" applyBorder="1" applyAlignment="1">
      <alignment horizontal="center" vertical="center" wrapText="1"/>
    </xf>
    <xf numFmtId="0" fontId="35" fillId="9" borderId="43" xfId="0" applyFont="1" applyFill="1" applyBorder="1" applyAlignment="1">
      <alignment horizontal="center" vertical="center" wrapText="1"/>
    </xf>
    <xf numFmtId="170" fontId="16" fillId="0" borderId="4" xfId="2" applyNumberFormat="1" applyFont="1" applyBorder="1" applyAlignment="1">
      <alignment horizontal="center" vertical="center"/>
    </xf>
    <xf numFmtId="2" fontId="58" fillId="0" borderId="4" xfId="0" applyNumberFormat="1" applyFont="1" applyBorder="1" applyAlignment="1">
      <alignment horizontal="center" vertical="center"/>
    </xf>
    <xf numFmtId="2" fontId="58" fillId="0" borderId="33" xfId="0" applyNumberFormat="1" applyFont="1" applyBorder="1" applyAlignment="1">
      <alignment horizontal="center" vertical="center"/>
    </xf>
    <xf numFmtId="0" fontId="57" fillId="0" borderId="3" xfId="0" applyFont="1" applyBorder="1" applyAlignment="1">
      <alignment vertical="center"/>
    </xf>
    <xf numFmtId="171" fontId="0" fillId="0" borderId="36" xfId="0" applyNumberFormat="1" applyBorder="1" applyAlignment="1">
      <alignment horizontal="center"/>
    </xf>
    <xf numFmtId="0" fontId="3" fillId="0" borderId="36" xfId="0" applyFont="1" applyBorder="1" applyAlignment="1">
      <alignment horizontal="center" vertical="center"/>
    </xf>
    <xf numFmtId="170" fontId="59" fillId="8" borderId="4" xfId="2" applyNumberFormat="1" applyFont="1" applyFill="1" applyBorder="1" applyAlignment="1">
      <alignment horizontal="center" vertical="center"/>
    </xf>
    <xf numFmtId="171" fontId="59" fillId="8" borderId="4" xfId="2" applyNumberFormat="1" applyFont="1" applyFill="1" applyBorder="1" applyAlignment="1">
      <alignment horizontal="center" vertical="center"/>
    </xf>
    <xf numFmtId="2" fontId="59" fillId="8" borderId="4" xfId="0" applyNumberFormat="1" applyFont="1" applyFill="1" applyBorder="1" applyAlignment="1">
      <alignment horizontal="center" vertical="center"/>
    </xf>
    <xf numFmtId="4" fontId="59" fillId="8" borderId="33" xfId="0" applyNumberFormat="1" applyFont="1" applyFill="1" applyBorder="1" applyAlignment="1">
      <alignment horizontal="center" vertical="center"/>
    </xf>
    <xf numFmtId="170" fontId="16" fillId="2" borderId="4" xfId="2" applyNumberFormat="1" applyFont="1" applyFill="1" applyBorder="1" applyAlignment="1">
      <alignment horizontal="center" vertical="center"/>
    </xf>
    <xf numFmtId="0" fontId="5" fillId="0" borderId="72" xfId="0" applyFont="1" applyBorder="1" applyAlignment="1">
      <alignment horizontal="right" vertical="center"/>
    </xf>
    <xf numFmtId="0" fontId="5" fillId="0" borderId="73" xfId="0" applyFont="1" applyBorder="1" applyAlignment="1">
      <alignment horizontal="right" vertical="center"/>
    </xf>
    <xf numFmtId="0" fontId="6" fillId="0" borderId="13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22" fillId="0" borderId="13" xfId="0" applyFont="1" applyBorder="1" applyAlignment="1">
      <alignment horizontal="left"/>
    </xf>
    <xf numFmtId="0" fontId="22" fillId="0" borderId="0" xfId="0" applyFont="1" applyAlignment="1">
      <alignment horizontal="left"/>
    </xf>
    <xf numFmtId="0" fontId="5" fillId="0" borderId="1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3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4" fillId="0" borderId="65" xfId="0" applyFont="1" applyBorder="1" applyAlignment="1">
      <alignment horizontal="center" vertical="center"/>
    </xf>
    <xf numFmtId="0" fontId="4" fillId="0" borderId="60" xfId="0" applyFont="1" applyBorder="1" applyAlignment="1">
      <alignment horizontal="center" vertical="center"/>
    </xf>
    <xf numFmtId="0" fontId="4" fillId="0" borderId="61" xfId="0" applyFont="1" applyBorder="1" applyAlignment="1">
      <alignment horizontal="center" vertical="center"/>
    </xf>
    <xf numFmtId="0" fontId="57" fillId="0" borderId="13" xfId="0" applyFont="1" applyBorder="1" applyAlignment="1">
      <alignment horizontal="left" vertical="center"/>
    </xf>
    <xf numFmtId="0" fontId="57" fillId="0" borderId="0" xfId="0" applyFont="1" applyAlignment="1">
      <alignment horizontal="left" vertical="center"/>
    </xf>
    <xf numFmtId="0" fontId="21" fillId="0" borderId="40" xfId="0" applyFont="1" applyBorder="1" applyAlignment="1">
      <alignment horizontal="center" wrapText="1"/>
    </xf>
    <xf numFmtId="0" fontId="21" fillId="0" borderId="42" xfId="0" applyFont="1" applyBorder="1" applyAlignment="1">
      <alignment horizontal="center" wrapText="1"/>
    </xf>
    <xf numFmtId="0" fontId="41" fillId="0" borderId="13" xfId="0" applyFont="1" applyBorder="1" applyAlignment="1">
      <alignment horizontal="left"/>
    </xf>
    <xf numFmtId="0" fontId="41" fillId="0" borderId="0" xfId="0" applyFont="1" applyAlignment="1">
      <alignment horizontal="left"/>
    </xf>
    <xf numFmtId="0" fontId="41" fillId="0" borderId="14" xfId="0" applyFont="1" applyBorder="1" applyAlignment="1">
      <alignment horizontal="left"/>
    </xf>
    <xf numFmtId="0" fontId="41" fillId="0" borderId="13" xfId="0" applyFont="1" applyBorder="1" applyAlignment="1">
      <alignment horizontal="center"/>
    </xf>
    <xf numFmtId="0" fontId="41" fillId="0" borderId="0" xfId="0" applyFont="1" applyAlignment="1">
      <alignment horizontal="center"/>
    </xf>
    <xf numFmtId="0" fontId="41" fillId="0" borderId="14" xfId="0" applyFont="1" applyBorder="1" applyAlignment="1">
      <alignment horizontal="center"/>
    </xf>
    <xf numFmtId="0" fontId="40" fillId="0" borderId="11" xfId="0" applyFont="1" applyBorder="1" applyAlignment="1">
      <alignment horizontal="center"/>
    </xf>
    <xf numFmtId="0" fontId="40" fillId="0" borderId="8" xfId="0" applyFont="1" applyBorder="1" applyAlignment="1">
      <alignment horizontal="center"/>
    </xf>
    <xf numFmtId="0" fontId="40" fillId="0" borderId="12" xfId="0" applyFont="1" applyBorder="1" applyAlignment="1">
      <alignment horizontal="center"/>
    </xf>
    <xf numFmtId="0" fontId="0" fillId="0" borderId="13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41" fillId="0" borderId="0" xfId="0" applyFont="1" applyAlignment="1">
      <alignment horizontal="center" vertical="center"/>
    </xf>
    <xf numFmtId="0" fontId="41" fillId="0" borderId="14" xfId="0" applyFont="1" applyBorder="1" applyAlignment="1">
      <alignment horizontal="center" vertical="center"/>
    </xf>
    <xf numFmtId="2" fontId="20" fillId="4" borderId="4" xfId="0" applyNumberFormat="1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3" xfId="0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33" xfId="0" applyFont="1" applyBorder="1" applyAlignment="1">
      <alignment horizontal="center"/>
    </xf>
    <xf numFmtId="0" fontId="19" fillId="0" borderId="4" xfId="0" applyFont="1" applyBorder="1" applyAlignment="1">
      <alignment horizontal="center" vertical="center"/>
    </xf>
    <xf numFmtId="2" fontId="19" fillId="0" borderId="4" xfId="0" applyNumberFormat="1" applyFont="1" applyBorder="1" applyAlignment="1">
      <alignment horizontal="center"/>
    </xf>
    <xf numFmtId="0" fontId="0" fillId="0" borderId="47" xfId="0" applyBorder="1" applyAlignment="1">
      <alignment horizontal="left"/>
    </xf>
    <xf numFmtId="0" fontId="0" fillId="0" borderId="48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33" xfId="0" applyBorder="1" applyAlignment="1">
      <alignment horizontal="left"/>
    </xf>
    <xf numFmtId="0" fontId="0" fillId="0" borderId="38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53" xfId="0" applyBorder="1" applyAlignment="1">
      <alignment horizontal="center"/>
    </xf>
    <xf numFmtId="0" fontId="3" fillId="0" borderId="49" xfId="0" applyFont="1" applyBorder="1" applyAlignment="1">
      <alignment horizontal="left" vertical="center"/>
    </xf>
    <xf numFmtId="0" fontId="3" fillId="0" borderId="50" xfId="0" applyFont="1" applyBorder="1" applyAlignment="1">
      <alignment horizontal="left" vertical="center"/>
    </xf>
    <xf numFmtId="0" fontId="3" fillId="0" borderId="51" xfId="0" applyFont="1" applyBorder="1" applyAlignment="1">
      <alignment horizontal="left" vertical="center"/>
    </xf>
    <xf numFmtId="0" fontId="13" fillId="2" borderId="52" xfId="4" applyFont="1" applyFill="1" applyBorder="1" applyAlignment="1">
      <alignment horizontal="left" vertical="center"/>
    </xf>
    <xf numFmtId="0" fontId="13" fillId="2" borderId="39" xfId="4" applyFont="1" applyFill="1" applyBorder="1" applyAlignment="1">
      <alignment horizontal="left" vertical="center"/>
    </xf>
    <xf numFmtId="0" fontId="13" fillId="2" borderId="34" xfId="4" applyFont="1" applyFill="1" applyBorder="1" applyAlignment="1">
      <alignment horizontal="left" vertical="center"/>
    </xf>
    <xf numFmtId="0" fontId="14" fillId="0" borderId="24" xfId="0" applyFont="1" applyBorder="1" applyAlignment="1">
      <alignment horizontal="center" vertical="center" wrapText="1"/>
    </xf>
    <xf numFmtId="0" fontId="14" fillId="0" borderId="21" xfId="0" applyFont="1" applyBorder="1" applyAlignment="1">
      <alignment horizontal="center" vertical="center" wrapText="1"/>
    </xf>
    <xf numFmtId="0" fontId="14" fillId="0" borderId="29" xfId="0" applyFont="1" applyBorder="1" applyAlignment="1">
      <alignment horizontal="center" vertical="center" wrapText="1"/>
    </xf>
    <xf numFmtId="0" fontId="31" fillId="0" borderId="59" xfId="0" applyFont="1" applyBorder="1" applyAlignment="1">
      <alignment horizontal="center"/>
    </xf>
    <xf numFmtId="0" fontId="31" fillId="0" borderId="25" xfId="0" applyFont="1" applyBorder="1" applyAlignment="1">
      <alignment horizontal="center"/>
    </xf>
    <xf numFmtId="2" fontId="28" fillId="0" borderId="26" xfId="0" applyNumberFormat="1" applyFont="1" applyBorder="1" applyAlignment="1">
      <alignment horizontal="center" vertical="center"/>
    </xf>
    <xf numFmtId="2" fontId="28" fillId="0" borderId="20" xfId="0" applyNumberFormat="1" applyFont="1" applyBorder="1" applyAlignment="1">
      <alignment horizontal="center" vertical="center"/>
    </xf>
    <xf numFmtId="0" fontId="16" fillId="0" borderId="55" xfId="0" applyFont="1" applyBorder="1" applyAlignment="1">
      <alignment horizontal="center" vertical="center"/>
    </xf>
    <xf numFmtId="0" fontId="16" fillId="0" borderId="28" xfId="0" applyFont="1" applyBorder="1" applyAlignment="1">
      <alignment horizontal="center" vertical="center"/>
    </xf>
    <xf numFmtId="0" fontId="14" fillId="0" borderId="59" xfId="0" applyFont="1" applyBorder="1" applyAlignment="1">
      <alignment horizontal="center"/>
    </xf>
    <xf numFmtId="0" fontId="14" fillId="0" borderId="25" xfId="0" applyFont="1" applyBorder="1" applyAlignment="1">
      <alignment horizontal="center"/>
    </xf>
    <xf numFmtId="2" fontId="32" fillId="0" borderId="26" xfId="0" applyNumberFormat="1" applyFont="1" applyBorder="1" applyAlignment="1">
      <alignment horizontal="center" vertical="center"/>
    </xf>
    <xf numFmtId="2" fontId="32" fillId="0" borderId="20" xfId="0" applyNumberFormat="1" applyFont="1" applyBorder="1" applyAlignment="1">
      <alignment horizontal="center" vertical="center"/>
    </xf>
    <xf numFmtId="2" fontId="17" fillId="0" borderId="45" xfId="1" applyNumberFormat="1" applyFont="1" applyFill="1" applyBorder="1" applyAlignment="1">
      <alignment horizontal="center" vertical="center" wrapText="1"/>
    </xf>
    <xf numFmtId="2" fontId="17" fillId="0" borderId="60" xfId="1" applyNumberFormat="1" applyFont="1" applyFill="1" applyBorder="1" applyAlignment="1">
      <alignment horizontal="center" vertical="center" wrapText="1"/>
    </xf>
    <xf numFmtId="1" fontId="17" fillId="3" borderId="60" xfId="1" applyNumberFormat="1" applyFont="1" applyFill="1" applyBorder="1" applyAlignment="1">
      <alignment horizontal="center" vertical="center"/>
    </xf>
    <xf numFmtId="1" fontId="17" fillId="3" borderId="61" xfId="1" applyNumberFormat="1" applyFont="1" applyFill="1" applyBorder="1" applyAlignment="1">
      <alignment horizontal="center" vertical="center"/>
    </xf>
    <xf numFmtId="0" fontId="16" fillId="0" borderId="0" xfId="0" applyFont="1" applyAlignment="1">
      <alignment horizontal="center"/>
    </xf>
    <xf numFmtId="0" fontId="13" fillId="0" borderId="35" xfId="0" applyFont="1" applyBorder="1" applyAlignment="1">
      <alignment horizontal="left" vertical="center"/>
    </xf>
    <xf numFmtId="0" fontId="13" fillId="0" borderId="36" xfId="0" applyFont="1" applyBorder="1" applyAlignment="1">
      <alignment horizontal="left" vertical="center"/>
    </xf>
    <xf numFmtId="0" fontId="13" fillId="0" borderId="37" xfId="0" applyFont="1" applyBorder="1" applyAlignment="1">
      <alignment horizontal="left" vertical="center"/>
    </xf>
    <xf numFmtId="0" fontId="24" fillId="2" borderId="4" xfId="4" applyFont="1" applyFill="1" applyBorder="1" applyAlignment="1">
      <alignment horizontal="center" vertical="center"/>
    </xf>
    <xf numFmtId="0" fontId="24" fillId="2" borderId="33" xfId="4" applyFont="1" applyFill="1" applyBorder="1" applyAlignment="1">
      <alignment horizontal="center" vertical="center"/>
    </xf>
    <xf numFmtId="2" fontId="16" fillId="0" borderId="55" xfId="0" applyNumberFormat="1" applyFont="1" applyBorder="1" applyAlignment="1">
      <alignment horizontal="center" vertical="center"/>
    </xf>
    <xf numFmtId="2" fontId="16" fillId="0" borderId="28" xfId="0" applyNumberFormat="1" applyFont="1" applyBorder="1" applyAlignment="1">
      <alignment horizontal="center" vertical="center"/>
    </xf>
    <xf numFmtId="0" fontId="16" fillId="0" borderId="59" xfId="0" applyFont="1" applyBorder="1" applyAlignment="1">
      <alignment horizontal="center"/>
    </xf>
    <xf numFmtId="0" fontId="16" fillId="0" borderId="25" xfId="0" applyFont="1" applyBorder="1" applyAlignment="1">
      <alignment horizontal="center"/>
    </xf>
    <xf numFmtId="0" fontId="16" fillId="0" borderId="26" xfId="0" applyFont="1" applyBorder="1" applyAlignment="1">
      <alignment horizontal="center" vertical="center"/>
    </xf>
    <xf numFmtId="0" fontId="16" fillId="0" borderId="20" xfId="0" applyFont="1" applyBorder="1" applyAlignment="1">
      <alignment horizontal="center" vertical="center"/>
    </xf>
    <xf numFmtId="0" fontId="17" fillId="0" borderId="45" xfId="0" applyFont="1" applyBorder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2" fontId="17" fillId="0" borderId="45" xfId="1" applyNumberFormat="1" applyFont="1" applyBorder="1" applyAlignment="1">
      <alignment horizontal="center" vertical="center"/>
    </xf>
    <xf numFmtId="2" fontId="17" fillId="0" borderId="16" xfId="1" applyNumberFormat="1" applyFont="1" applyBorder="1" applyAlignment="1">
      <alignment horizontal="center" vertical="center"/>
    </xf>
    <xf numFmtId="2" fontId="46" fillId="0" borderId="1" xfId="0" applyNumberFormat="1" applyFont="1" applyBorder="1" applyAlignment="1">
      <alignment horizontal="center" vertical="center"/>
    </xf>
    <xf numFmtId="2" fontId="46" fillId="0" borderId="43" xfId="0" applyNumberFormat="1" applyFont="1" applyBorder="1" applyAlignment="1">
      <alignment horizontal="center" vertical="center"/>
    </xf>
    <xf numFmtId="0" fontId="37" fillId="0" borderId="41" xfId="0" applyFont="1" applyBorder="1" applyAlignment="1">
      <alignment horizontal="center" vertical="center"/>
    </xf>
    <xf numFmtId="0" fontId="37" fillId="0" borderId="44" xfId="0" applyFont="1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35" fillId="0" borderId="43" xfId="0" applyFont="1" applyBorder="1" applyAlignment="1">
      <alignment horizontal="center" vertical="center"/>
    </xf>
    <xf numFmtId="2" fontId="33" fillId="0" borderId="1" xfId="0" applyNumberFormat="1" applyFont="1" applyBorder="1" applyAlignment="1">
      <alignment horizontal="center" vertical="center"/>
    </xf>
    <xf numFmtId="2" fontId="33" fillId="0" borderId="43" xfId="0" applyNumberFormat="1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2" fillId="0" borderId="43" xfId="0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 wrapText="1"/>
    </xf>
    <xf numFmtId="0" fontId="22" fillId="6" borderId="4" xfId="0" applyFont="1" applyFill="1" applyBorder="1" applyAlignment="1">
      <alignment horizontal="center" vertical="center" wrapText="1"/>
    </xf>
    <xf numFmtId="2" fontId="44" fillId="0" borderId="1" xfId="0" applyNumberFormat="1" applyFont="1" applyBorder="1" applyAlignment="1">
      <alignment horizontal="center" vertical="center"/>
    </xf>
    <xf numFmtId="0" fontId="44" fillId="0" borderId="43" xfId="0" applyFont="1" applyBorder="1" applyAlignment="1">
      <alignment horizontal="center" vertical="center"/>
    </xf>
    <xf numFmtId="2" fontId="36" fillId="0" borderId="1" xfId="0" applyNumberFormat="1" applyFont="1" applyBorder="1" applyAlignment="1">
      <alignment horizontal="center" vertical="center"/>
    </xf>
    <xf numFmtId="2" fontId="36" fillId="0" borderId="43" xfId="0" applyNumberFormat="1" applyFont="1" applyBorder="1" applyAlignment="1">
      <alignment horizontal="center" vertical="center"/>
    </xf>
    <xf numFmtId="2" fontId="35" fillId="0" borderId="1" xfId="0" applyNumberFormat="1" applyFont="1" applyBorder="1" applyAlignment="1">
      <alignment horizontal="center" vertical="center"/>
    </xf>
  </cellXfs>
  <cellStyles count="5">
    <cellStyle name="Comma" xfId="1" builtinId="3"/>
    <cellStyle name="Normal" xfId="0" builtinId="0"/>
    <cellStyle name="Normal 2 2" xfId="3"/>
    <cellStyle name="Normal 5" xfId="4"/>
    <cellStyle name="Percent" xfId="2" builtinId="5"/>
  </cellStyles>
  <dxfs count="0"/>
  <tableStyles count="0" defaultTableStyle="TableStyleMedium2" defaultPivotStyle="PivotStyleLight16"/>
  <colors>
    <mruColors>
      <color rgb="FF388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0:C46"/>
  <sheetViews>
    <sheetView tabSelected="1" topLeftCell="A10" workbookViewId="0">
      <selection activeCell="H28" sqref="H28"/>
    </sheetView>
  </sheetViews>
  <sheetFormatPr defaultRowHeight="15" x14ac:dyDescent="0.25"/>
  <cols>
    <col min="1" max="1" width="15.85546875" customWidth="1"/>
    <col min="2" max="2" width="43.7109375" customWidth="1"/>
    <col min="3" max="3" width="22.140625" customWidth="1"/>
  </cols>
  <sheetData>
    <row r="10" spans="1:3" ht="15.75" thickBot="1" x14ac:dyDescent="0.3"/>
    <row r="11" spans="1:3" ht="15.75" thickBot="1" x14ac:dyDescent="0.3">
      <c r="A11" s="211" t="s">
        <v>47</v>
      </c>
      <c r="B11" s="212"/>
      <c r="C11" s="213"/>
    </row>
    <row r="12" spans="1:3" x14ac:dyDescent="0.25">
      <c r="A12" s="156"/>
      <c r="B12" s="157"/>
      <c r="C12" s="158"/>
    </row>
    <row r="13" spans="1:3" x14ac:dyDescent="0.25">
      <c r="A13" s="159" t="s">
        <v>0</v>
      </c>
      <c r="B13" s="160"/>
      <c r="C13" s="161" t="s">
        <v>84</v>
      </c>
    </row>
    <row r="14" spans="1:3" x14ac:dyDescent="0.25">
      <c r="A14" s="203" t="s">
        <v>87</v>
      </c>
      <c r="B14" s="204"/>
      <c r="C14" s="161" t="s">
        <v>85</v>
      </c>
    </row>
    <row r="15" spans="1:3" x14ac:dyDescent="0.25">
      <c r="A15" s="214" t="s">
        <v>88</v>
      </c>
      <c r="B15" s="215"/>
      <c r="C15" s="158"/>
    </row>
    <row r="16" spans="1:3" x14ac:dyDescent="0.25">
      <c r="A16" s="214" t="s">
        <v>89</v>
      </c>
      <c r="B16" s="215"/>
      <c r="C16" s="158"/>
    </row>
    <row r="17" spans="1:3" x14ac:dyDescent="0.25">
      <c r="A17" s="203" t="s">
        <v>90</v>
      </c>
      <c r="B17" s="204"/>
      <c r="C17" s="158"/>
    </row>
    <row r="18" spans="1:3" x14ac:dyDescent="0.25">
      <c r="A18" s="203" t="s">
        <v>91</v>
      </c>
      <c r="B18" s="204"/>
      <c r="C18" s="158"/>
    </row>
    <row r="19" spans="1:3" x14ac:dyDescent="0.25">
      <c r="A19" s="156"/>
      <c r="B19" s="157"/>
      <c r="C19" s="158"/>
    </row>
    <row r="20" spans="1:3" x14ac:dyDescent="0.25">
      <c r="A20" s="156"/>
      <c r="B20" s="157"/>
      <c r="C20" s="158"/>
    </row>
    <row r="21" spans="1:3" x14ac:dyDescent="0.25">
      <c r="A21" s="203" t="s">
        <v>64</v>
      </c>
      <c r="B21" s="204"/>
      <c r="C21" s="158"/>
    </row>
    <row r="22" spans="1:3" x14ac:dyDescent="0.25">
      <c r="A22" s="205" t="s">
        <v>92</v>
      </c>
      <c r="B22" s="206"/>
      <c r="C22" s="162"/>
    </row>
    <row r="23" spans="1:3" x14ac:dyDescent="0.25">
      <c r="A23" s="203" t="s">
        <v>86</v>
      </c>
      <c r="B23" s="204"/>
      <c r="C23" s="158"/>
    </row>
    <row r="24" spans="1:3" ht="11.25" customHeight="1" x14ac:dyDescent="0.25">
      <c r="A24" s="163"/>
      <c r="B24" s="164"/>
      <c r="C24" s="158"/>
    </row>
    <row r="25" spans="1:3" ht="9" customHeight="1" x14ac:dyDescent="0.25">
      <c r="A25" s="156"/>
      <c r="B25" s="157"/>
      <c r="C25" s="158"/>
    </row>
    <row r="26" spans="1:3" x14ac:dyDescent="0.25">
      <c r="A26" s="165" t="s">
        <v>1</v>
      </c>
      <c r="B26" s="1" t="s">
        <v>2</v>
      </c>
      <c r="C26" s="166" t="s">
        <v>3</v>
      </c>
    </row>
    <row r="27" spans="1:3" x14ac:dyDescent="0.25">
      <c r="A27" s="167"/>
      <c r="B27" s="2"/>
      <c r="C27" s="168"/>
    </row>
    <row r="28" spans="1:3" ht="18.75" x14ac:dyDescent="0.3">
      <c r="A28" s="169">
        <v>1</v>
      </c>
      <c r="B28" s="193" t="s">
        <v>114</v>
      </c>
      <c r="C28" s="170">
        <f>Sheet2!J27</f>
        <v>250648</v>
      </c>
    </row>
    <row r="29" spans="1:3" x14ac:dyDescent="0.25">
      <c r="A29" s="169"/>
      <c r="B29" s="149"/>
      <c r="C29" s="171"/>
    </row>
    <row r="30" spans="1:3" x14ac:dyDescent="0.25">
      <c r="A30" s="169"/>
      <c r="B30" s="4"/>
      <c r="C30" s="171"/>
    </row>
    <row r="31" spans="1:3" x14ac:dyDescent="0.25">
      <c r="A31" s="169"/>
      <c r="B31" s="4"/>
      <c r="C31" s="171"/>
    </row>
    <row r="32" spans="1:3" x14ac:dyDescent="0.25">
      <c r="A32" s="169"/>
      <c r="B32" s="4"/>
      <c r="C32" s="171"/>
    </row>
    <row r="33" spans="1:3" x14ac:dyDescent="0.25">
      <c r="A33" s="169"/>
      <c r="B33" s="4"/>
      <c r="C33" s="171"/>
    </row>
    <row r="34" spans="1:3" x14ac:dyDescent="0.25">
      <c r="A34" s="172">
        <v>2</v>
      </c>
      <c r="B34" s="3" t="s">
        <v>4</v>
      </c>
      <c r="C34" s="171"/>
    </row>
    <row r="35" spans="1:3" x14ac:dyDescent="0.25">
      <c r="A35" s="173"/>
      <c r="B35" s="4" t="s">
        <v>5</v>
      </c>
      <c r="C35" s="174">
        <f>C28*9%</f>
        <v>22558.32</v>
      </c>
    </row>
    <row r="36" spans="1:3" x14ac:dyDescent="0.25">
      <c r="A36" s="173"/>
      <c r="B36" s="4" t="s">
        <v>6</v>
      </c>
      <c r="C36" s="174">
        <f>C28*9%</f>
        <v>22558.32</v>
      </c>
    </row>
    <row r="37" spans="1:3" x14ac:dyDescent="0.25">
      <c r="A37" s="175"/>
      <c r="B37" s="5"/>
      <c r="C37" s="176"/>
    </row>
    <row r="38" spans="1:3" ht="15.75" x14ac:dyDescent="0.25">
      <c r="A38" s="177"/>
      <c r="B38" s="6" t="s">
        <v>7</v>
      </c>
      <c r="C38" s="178">
        <f>SUM(C28:C37)</f>
        <v>295764.64</v>
      </c>
    </row>
    <row r="39" spans="1:3" ht="15.75" thickBot="1" x14ac:dyDescent="0.3">
      <c r="A39" s="179"/>
      <c r="B39" s="7"/>
      <c r="C39" s="180"/>
    </row>
    <row r="40" spans="1:3" x14ac:dyDescent="0.25">
      <c r="A40" s="181"/>
      <c r="B40" s="8"/>
      <c r="C40" s="182"/>
    </row>
    <row r="41" spans="1:3" x14ac:dyDescent="0.25">
      <c r="A41" s="156"/>
      <c r="B41" s="183"/>
      <c r="C41" s="158"/>
    </row>
    <row r="42" spans="1:3" x14ac:dyDescent="0.25">
      <c r="A42" s="207" t="s">
        <v>75</v>
      </c>
      <c r="B42" s="208"/>
      <c r="C42" s="158" t="s">
        <v>8</v>
      </c>
    </row>
    <row r="43" spans="1:3" x14ac:dyDescent="0.25">
      <c r="A43" s="209" t="s">
        <v>9</v>
      </c>
      <c r="B43" s="210"/>
      <c r="C43" s="158"/>
    </row>
    <row r="44" spans="1:3" x14ac:dyDescent="0.25">
      <c r="A44" s="209" t="s">
        <v>10</v>
      </c>
      <c r="B44" s="210"/>
      <c r="C44" s="158"/>
    </row>
    <row r="45" spans="1:3" x14ac:dyDescent="0.25">
      <c r="A45" s="156"/>
      <c r="B45" s="184"/>
      <c r="C45" s="185" t="s">
        <v>74</v>
      </c>
    </row>
    <row r="46" spans="1:3" ht="15.75" thickBot="1" x14ac:dyDescent="0.3">
      <c r="A46" s="186"/>
      <c r="B46" s="201"/>
      <c r="C46" s="202"/>
    </row>
  </sheetData>
  <mergeCells count="13">
    <mergeCell ref="A18:B18"/>
    <mergeCell ref="A11:C11"/>
    <mergeCell ref="A14:B14"/>
    <mergeCell ref="A15:B15"/>
    <mergeCell ref="A16:B16"/>
    <mergeCell ref="A17:B17"/>
    <mergeCell ref="B46:C46"/>
    <mergeCell ref="A21:B21"/>
    <mergeCell ref="A22:B22"/>
    <mergeCell ref="A23:B23"/>
    <mergeCell ref="A42:B42"/>
    <mergeCell ref="A43:B43"/>
    <mergeCell ref="A44:B44"/>
  </mergeCells>
  <pageMargins left="1.02362204724409" right="0.70866141732283505" top="0.74803149606299202" bottom="0.74803149606299202" header="0.31496062992126" footer="0.31496062992126"/>
  <pageSetup paperSize="9" orientation="portrait" horizontalDpi="4294967293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6:P37"/>
  <sheetViews>
    <sheetView topLeftCell="A16" workbookViewId="0">
      <selection activeCell="M34" sqref="M34"/>
    </sheetView>
  </sheetViews>
  <sheetFormatPr defaultRowHeight="15" x14ac:dyDescent="0.25"/>
  <cols>
    <col min="1" max="1" width="3.140625" customWidth="1"/>
    <col min="2" max="2" width="22.28515625" customWidth="1"/>
    <col min="3" max="3" width="5.5703125" bestFit="1" customWidth="1"/>
    <col min="4" max="4" width="7" bestFit="1" customWidth="1"/>
    <col min="5" max="5" width="4.7109375" customWidth="1"/>
    <col min="6" max="6" width="9.140625" bestFit="1" customWidth="1"/>
    <col min="7" max="7" width="8.28515625" bestFit="1" customWidth="1"/>
    <col min="8" max="8" width="9.7109375" bestFit="1" customWidth="1"/>
    <col min="9" max="9" width="9.140625" bestFit="1" customWidth="1"/>
    <col min="10" max="10" width="8.85546875" customWidth="1"/>
    <col min="11" max="11" width="12.42578125" customWidth="1"/>
    <col min="13" max="13" width="11.5703125" bestFit="1" customWidth="1"/>
    <col min="14" max="14" width="10.5703125" bestFit="1" customWidth="1"/>
  </cols>
  <sheetData>
    <row r="6" spans="1:11" ht="15.75" thickBot="1" x14ac:dyDescent="0.3"/>
    <row r="7" spans="1:11" ht="15.75" x14ac:dyDescent="0.25">
      <c r="A7" s="224" t="s">
        <v>11</v>
      </c>
      <c r="B7" s="225"/>
      <c r="C7" s="225"/>
      <c r="D7" s="225"/>
      <c r="E7" s="225"/>
      <c r="F7" s="225"/>
      <c r="G7" s="225"/>
      <c r="H7" s="225"/>
      <c r="I7" s="225"/>
      <c r="J7" s="225"/>
      <c r="K7" s="226"/>
    </row>
    <row r="8" spans="1:11" ht="15.75" x14ac:dyDescent="0.25">
      <c r="A8" s="187" t="s">
        <v>12</v>
      </c>
      <c r="B8" s="222"/>
      <c r="C8" s="222"/>
      <c r="D8" s="222"/>
      <c r="E8" s="222"/>
      <c r="F8" s="222"/>
      <c r="G8" s="222"/>
      <c r="H8" s="222"/>
      <c r="I8" s="230" t="str">
        <f>Sheet1!C13</f>
        <v>Date : 05-05-2026</v>
      </c>
      <c r="J8" s="230"/>
      <c r="K8" s="231"/>
    </row>
    <row r="9" spans="1:11" ht="15.75" x14ac:dyDescent="0.25">
      <c r="A9" s="218" t="str">
        <f>Sheet1!A14</f>
        <v>SSHIVAAY CONSTRUCTIONS.</v>
      </c>
      <c r="B9" s="219"/>
      <c r="C9" s="219"/>
      <c r="D9" s="219"/>
      <c r="E9" s="219"/>
      <c r="F9" s="219"/>
      <c r="G9" s="219"/>
      <c r="H9" s="219"/>
      <c r="I9" s="230" t="str">
        <f>Sheet1!C14</f>
        <v>Invoice No. 007/2026-27</v>
      </c>
      <c r="J9" s="230"/>
      <c r="K9" s="231"/>
    </row>
    <row r="10" spans="1:11" ht="15.75" x14ac:dyDescent="0.25">
      <c r="A10" s="218" t="str">
        <f>Sheet1!A15</f>
        <v>ADD :- Office:- SANT KRUPA CHS LTD., FLAT NO.5, PLOT NO. 78, SECTOR - 19</v>
      </c>
      <c r="B10" s="219"/>
      <c r="C10" s="219"/>
      <c r="D10" s="219"/>
      <c r="E10" s="219"/>
      <c r="F10" s="219"/>
      <c r="G10" s="219"/>
      <c r="H10" s="219"/>
      <c r="I10" s="219"/>
      <c r="J10" s="219"/>
      <c r="K10" s="220"/>
    </row>
    <row r="11" spans="1:11" ht="15.75" x14ac:dyDescent="0.25">
      <c r="A11" s="218" t="str">
        <f>Sheet1!A16</f>
        <v>NERUL (EAST), NAVI MUMBAI - 400706</v>
      </c>
      <c r="B11" s="219"/>
      <c r="C11" s="219"/>
      <c r="D11" s="219"/>
      <c r="E11" s="219"/>
      <c r="F11" s="219"/>
      <c r="G11" s="219"/>
      <c r="H11" s="219"/>
      <c r="I11" s="219"/>
      <c r="J11" s="219"/>
      <c r="K11" s="220"/>
    </row>
    <row r="12" spans="1:11" ht="15.75" x14ac:dyDescent="0.25">
      <c r="A12" s="221"/>
      <c r="B12" s="222"/>
      <c r="C12" s="222"/>
      <c r="D12" s="222"/>
      <c r="E12" s="222"/>
      <c r="F12" s="222"/>
      <c r="G12" s="222"/>
      <c r="H12" s="222"/>
      <c r="I12" s="222"/>
      <c r="J12" s="222"/>
      <c r="K12" s="223"/>
    </row>
    <row r="13" spans="1:11" ht="15.75" x14ac:dyDescent="0.25">
      <c r="A13" s="218" t="str">
        <f>Sheet1!A22</f>
        <v>Name Of Project :- BMC COLONY, BUILDING NO :- S3 VIKHROLI, MUMBAI</v>
      </c>
      <c r="B13" s="219"/>
      <c r="C13" s="219"/>
      <c r="D13" s="219"/>
      <c r="E13" s="219"/>
      <c r="F13" s="219"/>
      <c r="G13" s="219"/>
      <c r="H13" s="219"/>
      <c r="I13" s="219"/>
      <c r="J13" s="219"/>
      <c r="K13" s="220"/>
    </row>
    <row r="14" spans="1:11" ht="15.75" x14ac:dyDescent="0.25">
      <c r="A14" s="218" t="str">
        <f>Sheet1!A21</f>
        <v>Name of Work:-Reainforcemant Work.</v>
      </c>
      <c r="B14" s="219"/>
      <c r="C14" s="219"/>
      <c r="D14" s="219"/>
      <c r="E14" s="219"/>
      <c r="F14" s="219"/>
      <c r="G14" s="219"/>
      <c r="H14" s="219"/>
      <c r="I14" s="219"/>
      <c r="J14" s="219"/>
      <c r="K14" s="220"/>
    </row>
    <row r="15" spans="1:11" ht="15.75" x14ac:dyDescent="0.25">
      <c r="A15" s="221"/>
      <c r="B15" s="222"/>
      <c r="C15" s="222"/>
      <c r="D15" s="222"/>
      <c r="E15" s="222"/>
      <c r="F15" s="222"/>
      <c r="G15" s="222"/>
      <c r="H15" s="222"/>
      <c r="I15" s="222"/>
      <c r="J15" s="222"/>
      <c r="K15" s="223"/>
    </row>
    <row r="16" spans="1:11" ht="15.75" x14ac:dyDescent="0.25">
      <c r="A16" s="218" t="str">
        <f>Sheet1!A23</f>
        <v>Subject :- REF NO. : 01</v>
      </c>
      <c r="B16" s="219"/>
      <c r="C16" s="219"/>
      <c r="D16" s="219"/>
      <c r="E16" s="219"/>
      <c r="F16" s="219"/>
      <c r="G16" s="219"/>
      <c r="H16" s="219"/>
      <c r="I16" s="219"/>
      <c r="J16" s="219"/>
      <c r="K16" s="220"/>
    </row>
    <row r="17" spans="1:16" x14ac:dyDescent="0.25">
      <c r="A17" s="227" t="s">
        <v>109</v>
      </c>
      <c r="B17" s="228"/>
      <c r="C17" s="228"/>
      <c r="D17" s="228"/>
      <c r="E17" s="228"/>
      <c r="F17" s="228"/>
      <c r="G17" s="228"/>
      <c r="H17" s="228"/>
      <c r="I17" s="228"/>
      <c r="J17" s="228"/>
      <c r="K17" s="229"/>
    </row>
    <row r="18" spans="1:16" x14ac:dyDescent="0.25">
      <c r="A18" s="9"/>
      <c r="B18" s="10"/>
      <c r="C18" s="10"/>
      <c r="D18" s="10"/>
      <c r="E18" s="10"/>
      <c r="F18" s="10"/>
      <c r="G18" s="10"/>
      <c r="H18" s="10"/>
      <c r="I18" s="10"/>
      <c r="J18" s="10"/>
      <c r="K18" s="11"/>
    </row>
    <row r="19" spans="1:16" ht="15" customHeight="1" x14ac:dyDescent="0.25">
      <c r="A19" s="216" t="s">
        <v>48</v>
      </c>
      <c r="B19" s="88" t="s">
        <v>2</v>
      </c>
      <c r="C19" s="88" t="s">
        <v>13</v>
      </c>
      <c r="D19" s="88" t="s">
        <v>14</v>
      </c>
      <c r="E19" s="88" t="s">
        <v>15</v>
      </c>
      <c r="F19" s="88" t="s">
        <v>16</v>
      </c>
      <c r="G19" s="88" t="s">
        <v>17</v>
      </c>
      <c r="H19" s="88" t="s">
        <v>18</v>
      </c>
      <c r="I19" s="88" t="s">
        <v>16</v>
      </c>
      <c r="J19" s="88" t="s">
        <v>17</v>
      </c>
      <c r="K19" s="89" t="s">
        <v>16</v>
      </c>
    </row>
    <row r="20" spans="1:16" x14ac:dyDescent="0.25">
      <c r="A20" s="217"/>
      <c r="B20" s="88"/>
      <c r="C20" s="88"/>
      <c r="D20" s="88" t="s">
        <v>20</v>
      </c>
      <c r="E20" s="88"/>
      <c r="F20" s="88" t="s">
        <v>21</v>
      </c>
      <c r="G20" s="88" t="s">
        <v>21</v>
      </c>
      <c r="H20" s="88" t="s">
        <v>21</v>
      </c>
      <c r="I20" s="88" t="s">
        <v>3</v>
      </c>
      <c r="J20" s="88" t="s">
        <v>3</v>
      </c>
      <c r="K20" s="89" t="s">
        <v>3</v>
      </c>
    </row>
    <row r="21" spans="1:16" x14ac:dyDescent="0.25">
      <c r="A21" s="90"/>
      <c r="B21" s="91"/>
      <c r="C21" s="88"/>
      <c r="D21" s="88"/>
      <c r="E21" s="88"/>
      <c r="F21" s="88"/>
      <c r="G21" s="88"/>
      <c r="H21" s="88"/>
      <c r="I21" s="88"/>
      <c r="J21" s="88"/>
      <c r="K21" s="89"/>
    </row>
    <row r="22" spans="1:16" ht="24" x14ac:dyDescent="0.25">
      <c r="A22" s="92">
        <v>1</v>
      </c>
      <c r="B22" s="93" t="s">
        <v>107</v>
      </c>
      <c r="C22" s="94" t="s">
        <v>22</v>
      </c>
      <c r="D22" s="95">
        <f>'Tower S2 Wing'!D8:E8</f>
        <v>314554</v>
      </c>
      <c r="E22" s="96">
        <v>53</v>
      </c>
      <c r="F22" s="125">
        <f>'Tower S3 Wing'!G23</f>
        <v>0</v>
      </c>
      <c r="G22" s="133">
        <f>'Tower S3 Wing'!C13</f>
        <v>0</v>
      </c>
      <c r="H22" s="133">
        <f>F22+G22</f>
        <v>0</v>
      </c>
      <c r="I22" s="125">
        <f>'Tower S3 Wing'!G23</f>
        <v>0</v>
      </c>
      <c r="J22" s="133">
        <f>'Tower S3 Wing'!H23</f>
        <v>0</v>
      </c>
      <c r="K22" s="140">
        <f>I22+J22</f>
        <v>0</v>
      </c>
    </row>
    <row r="23" spans="1:16" ht="24" customHeight="1" x14ac:dyDescent="0.25">
      <c r="A23" s="92">
        <v>2</v>
      </c>
      <c r="B23" s="93" t="s">
        <v>108</v>
      </c>
      <c r="C23" s="94" t="s">
        <v>22</v>
      </c>
      <c r="D23" s="95">
        <f>'Tower S3 Wing'!D8:E8</f>
        <v>24750</v>
      </c>
      <c r="E23" s="96">
        <f>'Tower S3 Wing'!G8</f>
        <v>52</v>
      </c>
      <c r="F23" s="125">
        <f>'Tower S3 Wing'!D24</f>
        <v>0</v>
      </c>
      <c r="G23" s="133">
        <f>'Tower S3 Wing'!E24</f>
        <v>4674</v>
      </c>
      <c r="H23" s="133">
        <f>F23+G23</f>
        <v>4674</v>
      </c>
      <c r="I23" s="125">
        <f>'Tower S3 Wing'!G24</f>
        <v>0</v>
      </c>
      <c r="J23" s="133">
        <f>'Tower S3 Wing'!H24</f>
        <v>243048</v>
      </c>
      <c r="K23" s="140">
        <f>I23+J23</f>
        <v>243048</v>
      </c>
      <c r="N23" s="36"/>
    </row>
    <row r="24" spans="1:16" x14ac:dyDescent="0.25">
      <c r="A24" s="92">
        <v>3</v>
      </c>
      <c r="B24" s="97" t="s">
        <v>71</v>
      </c>
      <c r="C24" s="94" t="s">
        <v>23</v>
      </c>
      <c r="D24" s="98"/>
      <c r="E24" s="96">
        <f>supply!E20</f>
        <v>1100</v>
      </c>
      <c r="F24" s="125">
        <f>'Tower S3 Wing'!G25</f>
        <v>0</v>
      </c>
      <c r="G24" s="133">
        <f>supply!E19</f>
        <v>6</v>
      </c>
      <c r="H24" s="133">
        <f t="shared" ref="H24:H25" si="0">F24+G24</f>
        <v>6</v>
      </c>
      <c r="I24" s="125">
        <f t="shared" ref="I24:I25" si="1">F24*E24</f>
        <v>0</v>
      </c>
      <c r="J24" s="133">
        <f t="shared" ref="J24:J25" si="2">G24*E24</f>
        <v>6600</v>
      </c>
      <c r="K24" s="140">
        <f t="shared" ref="K24:K25" si="3">I24+J24</f>
        <v>6600</v>
      </c>
    </row>
    <row r="25" spans="1:16" x14ac:dyDescent="0.25">
      <c r="A25" s="92">
        <v>4</v>
      </c>
      <c r="B25" s="99" t="s">
        <v>70</v>
      </c>
      <c r="C25" s="94" t="s">
        <v>23</v>
      </c>
      <c r="D25" s="100"/>
      <c r="E25" s="95">
        <f>supply!G20</f>
        <v>800</v>
      </c>
      <c r="F25" s="125">
        <v>0</v>
      </c>
      <c r="G25" s="133">
        <f>supply!G19</f>
        <v>1.25</v>
      </c>
      <c r="H25" s="133">
        <f t="shared" si="0"/>
        <v>1.25</v>
      </c>
      <c r="I25" s="125">
        <f t="shared" si="1"/>
        <v>0</v>
      </c>
      <c r="J25" s="133">
        <f t="shared" si="2"/>
        <v>1000</v>
      </c>
      <c r="K25" s="140">
        <f t="shared" si="3"/>
        <v>1000</v>
      </c>
      <c r="P25" s="34"/>
    </row>
    <row r="26" spans="1:16" ht="15.75" thickBot="1" x14ac:dyDescent="0.3">
      <c r="A26" s="101"/>
      <c r="B26" s="102"/>
      <c r="C26" s="103"/>
      <c r="D26" s="103"/>
      <c r="E26" s="104"/>
      <c r="F26" s="126"/>
      <c r="G26" s="105"/>
      <c r="H26" s="127"/>
      <c r="I26" s="128"/>
      <c r="J26" s="134"/>
      <c r="K26" s="141"/>
    </row>
    <row r="27" spans="1:16" ht="15.75" thickBot="1" x14ac:dyDescent="0.3">
      <c r="A27" s="106"/>
      <c r="B27" s="107" t="s">
        <v>24</v>
      </c>
      <c r="C27" s="107"/>
      <c r="D27" s="107"/>
      <c r="E27" s="108"/>
      <c r="F27" s="107"/>
      <c r="G27" s="107"/>
      <c r="H27" s="107"/>
      <c r="I27" s="129">
        <f>SUM(I23:I26)</f>
        <v>0</v>
      </c>
      <c r="J27" s="135">
        <f>SUM(J23:J26)</f>
        <v>250648</v>
      </c>
      <c r="K27" s="142">
        <f>SUM(K23:K26)</f>
        <v>250648</v>
      </c>
      <c r="M27" s="35"/>
    </row>
    <row r="28" spans="1:16" x14ac:dyDescent="0.25">
      <c r="A28" s="109"/>
      <c r="B28" s="110"/>
      <c r="C28" s="110"/>
      <c r="D28" s="110"/>
      <c r="E28" s="110"/>
      <c r="F28" s="110"/>
      <c r="G28" s="110"/>
      <c r="H28" s="110"/>
      <c r="I28" s="130"/>
      <c r="J28" s="136"/>
      <c r="K28" s="143"/>
    </row>
    <row r="29" spans="1:16" x14ac:dyDescent="0.25">
      <c r="A29" s="90"/>
      <c r="B29" s="88" t="s">
        <v>25</v>
      </c>
      <c r="C29" s="88"/>
      <c r="D29" s="88"/>
      <c r="E29" s="88"/>
      <c r="F29" s="88"/>
      <c r="G29" s="88"/>
      <c r="H29" s="88"/>
      <c r="I29" s="131"/>
      <c r="J29" s="137"/>
      <c r="K29" s="144"/>
    </row>
    <row r="30" spans="1:16" x14ac:dyDescent="0.25">
      <c r="A30" s="90"/>
      <c r="B30" s="88" t="s">
        <v>25</v>
      </c>
      <c r="C30" s="88"/>
      <c r="D30" s="88"/>
      <c r="E30" s="88"/>
      <c r="F30" s="88"/>
      <c r="G30" s="88"/>
      <c r="H30" s="88"/>
      <c r="I30" s="131"/>
      <c r="J30" s="137"/>
      <c r="K30" s="144"/>
    </row>
    <row r="31" spans="1:16" x14ac:dyDescent="0.25">
      <c r="A31" s="90"/>
      <c r="B31" s="88" t="s">
        <v>126</v>
      </c>
      <c r="C31" s="88"/>
      <c r="D31" s="88"/>
      <c r="E31" s="88"/>
      <c r="F31" s="88"/>
      <c r="G31" s="88"/>
      <c r="H31" s="88"/>
      <c r="I31" s="125">
        <f>I27*3%</f>
        <v>0</v>
      </c>
      <c r="J31" s="133">
        <f>J27*0%</f>
        <v>0</v>
      </c>
      <c r="K31" s="140">
        <f>I31+J31</f>
        <v>0</v>
      </c>
      <c r="N31" s="34"/>
    </row>
    <row r="32" spans="1:16" x14ac:dyDescent="0.25">
      <c r="A32" s="90"/>
      <c r="B32" s="88"/>
      <c r="C32" s="88"/>
      <c r="D32" s="88"/>
      <c r="E32" s="88"/>
      <c r="F32" s="88"/>
      <c r="G32" s="88"/>
      <c r="H32" s="88"/>
      <c r="I32" s="132" t="s">
        <v>49</v>
      </c>
      <c r="J32" s="137"/>
      <c r="K32" s="145"/>
    </row>
    <row r="33" spans="1:11" x14ac:dyDescent="0.25">
      <c r="A33" s="111"/>
      <c r="B33" s="112" t="s">
        <v>26</v>
      </c>
      <c r="C33" s="112"/>
      <c r="D33" s="112"/>
      <c r="E33" s="112"/>
      <c r="F33" s="112"/>
      <c r="G33" s="112"/>
      <c r="H33" s="112"/>
      <c r="I33" s="125">
        <f>I27-I31</f>
        <v>0</v>
      </c>
      <c r="J33" s="133">
        <f>J27-J31</f>
        <v>250648</v>
      </c>
      <c r="K33" s="140">
        <f>K27-K31</f>
        <v>250648</v>
      </c>
    </row>
    <row r="34" spans="1:11" x14ac:dyDescent="0.25">
      <c r="A34" s="111"/>
      <c r="B34" s="112" t="s">
        <v>27</v>
      </c>
      <c r="C34" s="112"/>
      <c r="D34" s="112"/>
      <c r="E34" s="112"/>
      <c r="F34" s="112"/>
      <c r="G34" s="112"/>
      <c r="H34" s="112"/>
      <c r="I34" s="113"/>
      <c r="J34" s="138">
        <f>J27*1%</f>
        <v>2506.48</v>
      </c>
      <c r="K34" s="146"/>
    </row>
    <row r="35" spans="1:11" ht="15.75" thickBot="1" x14ac:dyDescent="0.3">
      <c r="A35" s="114"/>
      <c r="B35" s="115" t="s">
        <v>28</v>
      </c>
      <c r="C35" s="116"/>
      <c r="D35" s="116"/>
      <c r="E35" s="116"/>
      <c r="F35" s="116"/>
      <c r="G35" s="116"/>
      <c r="H35" s="116"/>
      <c r="I35" s="116"/>
      <c r="J35" s="139">
        <f>J33-J34</f>
        <v>248141.52</v>
      </c>
      <c r="K35" s="147"/>
    </row>
    <row r="37" spans="1:11" x14ac:dyDescent="0.25">
      <c r="J37" s="34"/>
    </row>
  </sheetData>
  <mergeCells count="14">
    <mergeCell ref="A19:A20"/>
    <mergeCell ref="A11:K11"/>
    <mergeCell ref="A12:K12"/>
    <mergeCell ref="A7:K7"/>
    <mergeCell ref="A10:K10"/>
    <mergeCell ref="A13:K13"/>
    <mergeCell ref="A16:K16"/>
    <mergeCell ref="A17:K17"/>
    <mergeCell ref="A14:K14"/>
    <mergeCell ref="A15:K15"/>
    <mergeCell ref="I9:K9"/>
    <mergeCell ref="B8:H8"/>
    <mergeCell ref="I8:K8"/>
    <mergeCell ref="A9:H9"/>
  </mergeCells>
  <pageMargins left="0.4" right="0" top="0.74803149606299202" bottom="0.74803149606299202" header="0.31496062992126" footer="0.31496062992126"/>
  <pageSetup paperSize="9" scale="98" orientation="portrait" horizontalDpi="4294967293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46"/>
  <sheetViews>
    <sheetView topLeftCell="A34" workbookViewId="0">
      <selection activeCell="E21" sqref="E21"/>
    </sheetView>
  </sheetViews>
  <sheetFormatPr defaultRowHeight="15" x14ac:dyDescent="0.25"/>
  <cols>
    <col min="1" max="1" width="4.140625" bestFit="1" customWidth="1"/>
    <col min="2" max="2" width="15.7109375" customWidth="1"/>
    <col min="3" max="3" width="12.28515625" customWidth="1"/>
    <col min="4" max="4" width="10.5703125" bestFit="1" customWidth="1"/>
    <col min="5" max="6" width="11.140625" bestFit="1" customWidth="1"/>
    <col min="7" max="8" width="10.5703125" bestFit="1" customWidth="1"/>
    <col min="9" max="9" width="14.42578125" bestFit="1" customWidth="1"/>
    <col min="11" max="11" width="10.5703125" bestFit="1" customWidth="1"/>
  </cols>
  <sheetData>
    <row r="1" spans="1:9" ht="15.75" thickBot="1" x14ac:dyDescent="0.3"/>
    <row r="2" spans="1:9" x14ac:dyDescent="0.25">
      <c r="A2" s="68"/>
      <c r="B2" s="239" t="str">
        <f>Sheet2!A9</f>
        <v>SSHIVAAY CONSTRUCTIONS.</v>
      </c>
      <c r="C2" s="239"/>
      <c r="D2" s="239"/>
      <c r="E2" s="239"/>
      <c r="F2" s="239"/>
      <c r="G2" s="239"/>
      <c r="H2" s="239"/>
      <c r="I2" s="240"/>
    </row>
    <row r="3" spans="1:9" x14ac:dyDescent="0.25">
      <c r="A3" s="69"/>
      <c r="B3" s="241" t="str">
        <f>Sheet2!A14</f>
        <v>Name of Work:-Reainforcemant Work.</v>
      </c>
      <c r="C3" s="241"/>
      <c r="D3" s="241"/>
      <c r="E3" s="241"/>
      <c r="F3" s="241"/>
      <c r="G3" s="241"/>
      <c r="H3" s="241"/>
      <c r="I3" s="242"/>
    </row>
    <row r="4" spans="1:9" x14ac:dyDescent="0.25">
      <c r="A4" s="69"/>
      <c r="B4" s="243"/>
      <c r="C4" s="244"/>
      <c r="D4" s="244"/>
      <c r="E4" s="244"/>
      <c r="F4" s="244"/>
      <c r="G4" s="244"/>
      <c r="H4" s="244"/>
      <c r="I4" s="245"/>
    </row>
    <row r="5" spans="1:9" x14ac:dyDescent="0.25">
      <c r="A5" s="69"/>
      <c r="B5" s="241" t="str">
        <f>Sheet2!A16</f>
        <v>Subject :- REF NO. : 01</v>
      </c>
      <c r="C5" s="241"/>
      <c r="D5" s="241"/>
      <c r="E5" s="241"/>
      <c r="F5" s="241"/>
      <c r="G5" s="241"/>
      <c r="H5" s="241"/>
      <c r="I5" s="242"/>
    </row>
    <row r="6" spans="1:9" x14ac:dyDescent="0.25">
      <c r="A6" s="69"/>
      <c r="B6" s="241" t="s">
        <v>113</v>
      </c>
      <c r="C6" s="241"/>
      <c r="D6" s="241"/>
      <c r="E6" s="241"/>
      <c r="F6" s="241"/>
      <c r="G6" s="241"/>
      <c r="H6" s="241"/>
      <c r="I6" s="242"/>
    </row>
    <row r="7" spans="1:9" x14ac:dyDescent="0.25">
      <c r="A7" s="69"/>
      <c r="B7" s="19"/>
      <c r="C7" s="237" t="s">
        <v>29</v>
      </c>
      <c r="D7" s="237"/>
      <c r="E7" s="237"/>
      <c r="F7" s="238"/>
      <c r="G7" s="238"/>
      <c r="H7" s="19"/>
      <c r="I7" s="70"/>
    </row>
    <row r="8" spans="1:9" x14ac:dyDescent="0.25">
      <c r="A8" s="71"/>
      <c r="B8" s="15" t="s">
        <v>30</v>
      </c>
      <c r="C8" s="15" t="s">
        <v>66</v>
      </c>
      <c r="D8" s="232">
        <f>C40</f>
        <v>314554</v>
      </c>
      <c r="E8" s="232"/>
      <c r="F8" s="15" t="s">
        <v>31</v>
      </c>
      <c r="G8" s="20">
        <v>53</v>
      </c>
      <c r="H8" s="15"/>
      <c r="I8" s="72">
        <f>D8*G8</f>
        <v>16671362</v>
      </c>
    </row>
    <row r="9" spans="1:9" x14ac:dyDescent="0.25">
      <c r="A9" s="69"/>
      <c r="B9" s="233"/>
      <c r="C9" s="233"/>
      <c r="D9" s="233"/>
      <c r="E9" s="233"/>
      <c r="F9" s="233"/>
      <c r="G9" s="233"/>
      <c r="H9" s="233"/>
      <c r="I9" s="234"/>
    </row>
    <row r="10" spans="1:9" x14ac:dyDescent="0.25">
      <c r="A10" s="16" t="s">
        <v>32</v>
      </c>
      <c r="B10" s="15" t="s">
        <v>33</v>
      </c>
      <c r="C10" s="15" t="s">
        <v>65</v>
      </c>
      <c r="D10" s="235" t="s">
        <v>34</v>
      </c>
      <c r="E10" s="235"/>
      <c r="F10" s="235"/>
      <c r="G10" s="235" t="s">
        <v>3</v>
      </c>
      <c r="H10" s="235"/>
      <c r="I10" s="236"/>
    </row>
    <row r="11" spans="1:9" x14ac:dyDescent="0.25">
      <c r="A11" s="12" t="s">
        <v>19</v>
      </c>
      <c r="B11" s="15" t="s">
        <v>35</v>
      </c>
      <c r="C11" s="13"/>
      <c r="D11" s="233"/>
      <c r="E11" s="233"/>
      <c r="F11" s="233"/>
      <c r="G11" s="233"/>
      <c r="H11" s="233"/>
      <c r="I11" s="234"/>
    </row>
    <row r="12" spans="1:9" x14ac:dyDescent="0.25">
      <c r="A12" s="12"/>
      <c r="B12" s="13" t="s">
        <v>72</v>
      </c>
      <c r="C12" s="13"/>
      <c r="D12" s="13" t="s">
        <v>16</v>
      </c>
      <c r="E12" s="13" t="s">
        <v>17</v>
      </c>
      <c r="F12" s="13" t="s">
        <v>18</v>
      </c>
      <c r="G12" s="13" t="s">
        <v>16</v>
      </c>
      <c r="H12" s="13" t="s">
        <v>17</v>
      </c>
      <c r="I12" s="14" t="s">
        <v>18</v>
      </c>
    </row>
    <row r="13" spans="1:9" x14ac:dyDescent="0.25">
      <c r="A13" s="12"/>
      <c r="B13" s="13" t="s">
        <v>73</v>
      </c>
      <c r="C13" s="13"/>
      <c r="D13" s="13" t="s">
        <v>21</v>
      </c>
      <c r="E13" s="13" t="s">
        <v>21</v>
      </c>
      <c r="F13" s="13" t="s">
        <v>21</v>
      </c>
      <c r="G13" s="13" t="s">
        <v>3</v>
      </c>
      <c r="H13" s="13" t="s">
        <v>3</v>
      </c>
      <c r="I13" s="14" t="s">
        <v>3</v>
      </c>
    </row>
    <row r="14" spans="1:9" ht="25.5" x14ac:dyDescent="0.25">
      <c r="A14" s="37">
        <v>1</v>
      </c>
      <c r="B14" s="24" t="s">
        <v>117</v>
      </c>
      <c r="C14" s="29">
        <v>22728</v>
      </c>
      <c r="D14" s="190">
        <v>0</v>
      </c>
      <c r="E14" s="190">
        <v>0</v>
      </c>
      <c r="F14" s="190">
        <v>0</v>
      </c>
      <c r="G14" s="190">
        <v>0</v>
      </c>
      <c r="H14" s="190">
        <v>0</v>
      </c>
      <c r="I14" s="190">
        <v>0</v>
      </c>
    </row>
    <row r="15" spans="1:9" x14ac:dyDescent="0.25">
      <c r="A15" s="12">
        <v>2</v>
      </c>
      <c r="B15" s="21" t="s">
        <v>97</v>
      </c>
      <c r="C15" s="29">
        <v>17068</v>
      </c>
      <c r="D15" s="190">
        <v>0</v>
      </c>
      <c r="E15" s="190">
        <v>0</v>
      </c>
      <c r="F15" s="190">
        <v>0</v>
      </c>
      <c r="G15" s="190">
        <v>0</v>
      </c>
      <c r="H15" s="23">
        <v>0</v>
      </c>
      <c r="I15" s="73">
        <f t="shared" ref="I15:I30" si="0">G15+H15</f>
        <v>0</v>
      </c>
    </row>
    <row r="16" spans="1:9" x14ac:dyDescent="0.25">
      <c r="A16" s="12">
        <v>3</v>
      </c>
      <c r="B16" s="21" t="s">
        <v>98</v>
      </c>
      <c r="C16" s="29">
        <v>11946</v>
      </c>
      <c r="D16" s="190">
        <v>0</v>
      </c>
      <c r="E16" s="190">
        <v>0</v>
      </c>
      <c r="F16" s="190">
        <v>0</v>
      </c>
      <c r="G16" s="190">
        <v>0</v>
      </c>
      <c r="H16" s="23">
        <v>0</v>
      </c>
      <c r="I16" s="73">
        <f t="shared" si="0"/>
        <v>0</v>
      </c>
    </row>
    <row r="17" spans="1:9" x14ac:dyDescent="0.25">
      <c r="A17" s="12">
        <v>4</v>
      </c>
      <c r="B17" s="21" t="s">
        <v>99</v>
      </c>
      <c r="C17" s="29">
        <v>11946</v>
      </c>
      <c r="D17" s="190">
        <v>0</v>
      </c>
      <c r="E17" s="190">
        <v>0</v>
      </c>
      <c r="F17" s="190">
        <v>0</v>
      </c>
      <c r="G17" s="190">
        <v>0</v>
      </c>
      <c r="H17" s="23">
        <v>0</v>
      </c>
      <c r="I17" s="73">
        <f t="shared" si="0"/>
        <v>0</v>
      </c>
    </row>
    <row r="18" spans="1:9" x14ac:dyDescent="0.25">
      <c r="A18" s="12">
        <v>5</v>
      </c>
      <c r="B18" s="21" t="s">
        <v>100</v>
      </c>
      <c r="C18" s="29">
        <v>11946</v>
      </c>
      <c r="D18" s="190">
        <v>0</v>
      </c>
      <c r="E18" s="190">
        <v>0</v>
      </c>
      <c r="F18" s="190">
        <v>0</v>
      </c>
      <c r="G18" s="190">
        <v>0</v>
      </c>
      <c r="H18" s="23">
        <v>0</v>
      </c>
      <c r="I18" s="73">
        <f t="shared" si="0"/>
        <v>0</v>
      </c>
    </row>
    <row r="19" spans="1:9" x14ac:dyDescent="0.25">
      <c r="A19" s="12">
        <v>6</v>
      </c>
      <c r="B19" s="21" t="s">
        <v>101</v>
      </c>
      <c r="C19" s="29">
        <v>11946</v>
      </c>
      <c r="D19" s="190">
        <v>0</v>
      </c>
      <c r="E19" s="190">
        <v>0</v>
      </c>
      <c r="F19" s="190">
        <v>0</v>
      </c>
      <c r="G19" s="190">
        <v>0</v>
      </c>
      <c r="H19" s="23">
        <v>0</v>
      </c>
      <c r="I19" s="73">
        <f t="shared" si="0"/>
        <v>0</v>
      </c>
    </row>
    <row r="20" spans="1:9" x14ac:dyDescent="0.25">
      <c r="A20" s="12">
        <v>7</v>
      </c>
      <c r="B20" s="21" t="s">
        <v>102</v>
      </c>
      <c r="C20" s="29">
        <v>11946</v>
      </c>
      <c r="D20" s="190">
        <v>0</v>
      </c>
      <c r="E20" s="190">
        <v>0</v>
      </c>
      <c r="F20" s="190">
        <v>0</v>
      </c>
      <c r="G20" s="190">
        <v>0</v>
      </c>
      <c r="H20" s="23">
        <v>0</v>
      </c>
      <c r="I20" s="73">
        <f t="shared" si="0"/>
        <v>0</v>
      </c>
    </row>
    <row r="21" spans="1:9" x14ac:dyDescent="0.25">
      <c r="A21" s="12">
        <v>8</v>
      </c>
      <c r="B21" s="21" t="s">
        <v>103</v>
      </c>
      <c r="C21" s="29">
        <v>11946</v>
      </c>
      <c r="D21" s="190">
        <v>0</v>
      </c>
      <c r="E21" s="190">
        <v>0</v>
      </c>
      <c r="F21" s="190">
        <v>0</v>
      </c>
      <c r="G21" s="190">
        <v>0</v>
      </c>
      <c r="H21" s="23">
        <v>0</v>
      </c>
      <c r="I21" s="73">
        <f t="shared" si="0"/>
        <v>0</v>
      </c>
    </row>
    <row r="22" spans="1:9" x14ac:dyDescent="0.25">
      <c r="A22" s="12">
        <v>9</v>
      </c>
      <c r="B22" s="21" t="s">
        <v>118</v>
      </c>
      <c r="C22" s="29">
        <v>11946</v>
      </c>
      <c r="D22" s="190">
        <v>0</v>
      </c>
      <c r="E22" s="190">
        <v>0</v>
      </c>
      <c r="F22" s="190">
        <v>0</v>
      </c>
      <c r="G22" s="190">
        <v>0</v>
      </c>
      <c r="H22" s="23">
        <v>0</v>
      </c>
      <c r="I22" s="73">
        <f t="shared" si="0"/>
        <v>0</v>
      </c>
    </row>
    <row r="23" spans="1:9" x14ac:dyDescent="0.25">
      <c r="A23" s="12">
        <v>10</v>
      </c>
      <c r="B23" s="21" t="s">
        <v>104</v>
      </c>
      <c r="C23" s="29">
        <v>11946</v>
      </c>
      <c r="D23" s="190">
        <v>0</v>
      </c>
      <c r="E23" s="190">
        <v>0</v>
      </c>
      <c r="F23" s="190">
        <v>0</v>
      </c>
      <c r="G23" s="190">
        <v>0</v>
      </c>
      <c r="H23" s="23">
        <v>0</v>
      </c>
      <c r="I23" s="73">
        <f t="shared" si="0"/>
        <v>0</v>
      </c>
    </row>
    <row r="24" spans="1:9" x14ac:dyDescent="0.25">
      <c r="A24" s="12">
        <v>11</v>
      </c>
      <c r="B24" s="21" t="s">
        <v>119</v>
      </c>
      <c r="C24" s="29">
        <v>11946</v>
      </c>
      <c r="D24" s="190">
        <v>0</v>
      </c>
      <c r="E24" s="190">
        <v>0</v>
      </c>
      <c r="F24" s="190">
        <v>0</v>
      </c>
      <c r="G24" s="190">
        <v>0</v>
      </c>
      <c r="H24" s="23">
        <v>0</v>
      </c>
      <c r="I24" s="73">
        <f t="shared" si="0"/>
        <v>0</v>
      </c>
    </row>
    <row r="25" spans="1:9" x14ac:dyDescent="0.25">
      <c r="A25" s="12">
        <v>12</v>
      </c>
      <c r="B25" s="21" t="s">
        <v>105</v>
      </c>
      <c r="C25" s="29">
        <v>11946</v>
      </c>
      <c r="D25" s="190">
        <v>0</v>
      </c>
      <c r="E25" s="190">
        <v>0</v>
      </c>
      <c r="F25" s="190">
        <v>0</v>
      </c>
      <c r="G25" s="190">
        <v>0</v>
      </c>
      <c r="H25" s="23">
        <v>0</v>
      </c>
      <c r="I25" s="73">
        <f t="shared" si="0"/>
        <v>0</v>
      </c>
    </row>
    <row r="26" spans="1:9" x14ac:dyDescent="0.25">
      <c r="A26" s="12">
        <v>13</v>
      </c>
      <c r="B26" s="21" t="s">
        <v>120</v>
      </c>
      <c r="C26" s="29">
        <v>11946</v>
      </c>
      <c r="D26" s="190">
        <v>0</v>
      </c>
      <c r="E26" s="190">
        <v>0</v>
      </c>
      <c r="F26" s="190">
        <v>0</v>
      </c>
      <c r="G26" s="190">
        <v>0</v>
      </c>
      <c r="H26" s="23">
        <v>0</v>
      </c>
      <c r="I26" s="73">
        <f t="shared" si="0"/>
        <v>0</v>
      </c>
    </row>
    <row r="27" spans="1:9" x14ac:dyDescent="0.25">
      <c r="A27" s="12">
        <v>14</v>
      </c>
      <c r="B27" s="21" t="s">
        <v>106</v>
      </c>
      <c r="C27" s="29">
        <v>11946</v>
      </c>
      <c r="D27" s="190">
        <v>0</v>
      </c>
      <c r="E27" s="190">
        <v>0</v>
      </c>
      <c r="F27" s="190">
        <v>0</v>
      </c>
      <c r="G27" s="190">
        <v>0</v>
      </c>
      <c r="H27" s="23">
        <v>0</v>
      </c>
      <c r="I27" s="73">
        <f t="shared" si="0"/>
        <v>0</v>
      </c>
    </row>
    <row r="28" spans="1:9" x14ac:dyDescent="0.25">
      <c r="A28" s="12">
        <v>15</v>
      </c>
      <c r="B28" s="21" t="s">
        <v>121</v>
      </c>
      <c r="C28" s="29">
        <v>11946</v>
      </c>
      <c r="D28" s="190">
        <v>0</v>
      </c>
      <c r="E28" s="190">
        <v>0</v>
      </c>
      <c r="F28" s="190">
        <v>0</v>
      </c>
      <c r="G28" s="190">
        <v>0</v>
      </c>
      <c r="H28" s="23">
        <v>0</v>
      </c>
      <c r="I28" s="73">
        <f t="shared" si="0"/>
        <v>0</v>
      </c>
    </row>
    <row r="29" spans="1:9" x14ac:dyDescent="0.25">
      <c r="A29" s="12">
        <v>16</v>
      </c>
      <c r="B29" s="21" t="s">
        <v>96</v>
      </c>
      <c r="C29" s="29">
        <v>11946</v>
      </c>
      <c r="D29" s="190">
        <v>0</v>
      </c>
      <c r="E29" s="190">
        <v>0</v>
      </c>
      <c r="F29" s="190">
        <v>0</v>
      </c>
      <c r="G29" s="190">
        <v>0</v>
      </c>
      <c r="H29" s="23">
        <v>0</v>
      </c>
      <c r="I29" s="73">
        <f t="shared" si="0"/>
        <v>0</v>
      </c>
    </row>
    <row r="30" spans="1:9" x14ac:dyDescent="0.25">
      <c r="A30" s="12">
        <v>17</v>
      </c>
      <c r="B30" s="21" t="s">
        <v>122</v>
      </c>
      <c r="C30" s="29">
        <v>11946</v>
      </c>
      <c r="D30" s="190">
        <v>0</v>
      </c>
      <c r="E30" s="190">
        <v>0</v>
      </c>
      <c r="F30" s="190">
        <v>0</v>
      </c>
      <c r="G30" s="190">
        <v>0</v>
      </c>
      <c r="H30" s="23">
        <v>0</v>
      </c>
      <c r="I30" s="73">
        <f t="shared" si="0"/>
        <v>0</v>
      </c>
    </row>
    <row r="31" spans="1:9" x14ac:dyDescent="0.25">
      <c r="A31" s="12">
        <v>18</v>
      </c>
      <c r="B31" s="21" t="s">
        <v>77</v>
      </c>
      <c r="C31" s="29">
        <v>11946</v>
      </c>
      <c r="D31" s="190">
        <v>0</v>
      </c>
      <c r="E31" s="190">
        <v>0</v>
      </c>
      <c r="F31" s="190">
        <v>0</v>
      </c>
      <c r="G31" s="190">
        <v>0</v>
      </c>
      <c r="H31" s="23">
        <v>0</v>
      </c>
      <c r="I31" s="73">
        <f t="shared" ref="I31:I38" si="1">G31+H31</f>
        <v>0</v>
      </c>
    </row>
    <row r="32" spans="1:9" x14ac:dyDescent="0.25">
      <c r="A32" s="12">
        <v>19</v>
      </c>
      <c r="B32" s="21" t="s">
        <v>123</v>
      </c>
      <c r="C32" s="29">
        <v>11946</v>
      </c>
      <c r="D32" s="190">
        <v>0</v>
      </c>
      <c r="E32" s="190">
        <v>0</v>
      </c>
      <c r="F32" s="190">
        <v>0</v>
      </c>
      <c r="G32" s="190">
        <v>0</v>
      </c>
      <c r="H32" s="23">
        <v>0</v>
      </c>
      <c r="I32" s="73">
        <f t="shared" si="1"/>
        <v>0</v>
      </c>
    </row>
    <row r="33" spans="1:12" x14ac:dyDescent="0.25">
      <c r="A33" s="12">
        <v>20</v>
      </c>
      <c r="B33" s="21" t="s">
        <v>36</v>
      </c>
      <c r="C33" s="29">
        <v>11946</v>
      </c>
      <c r="D33" s="190">
        <v>0</v>
      </c>
      <c r="E33" s="190">
        <v>0</v>
      </c>
      <c r="F33" s="190">
        <v>0</v>
      </c>
      <c r="G33" s="190">
        <v>0</v>
      </c>
      <c r="H33" s="23">
        <v>0</v>
      </c>
      <c r="I33" s="73">
        <f t="shared" si="1"/>
        <v>0</v>
      </c>
    </row>
    <row r="34" spans="1:12" x14ac:dyDescent="0.25">
      <c r="A34" s="12">
        <v>21</v>
      </c>
      <c r="B34" s="21" t="s">
        <v>124</v>
      </c>
      <c r="C34" s="29">
        <v>11946</v>
      </c>
      <c r="D34" s="190">
        <v>0</v>
      </c>
      <c r="E34" s="190">
        <v>0</v>
      </c>
      <c r="F34" s="190">
        <v>0</v>
      </c>
      <c r="G34" s="190">
        <v>0</v>
      </c>
      <c r="H34" s="23">
        <v>0</v>
      </c>
      <c r="I34" s="73">
        <f t="shared" si="1"/>
        <v>0</v>
      </c>
    </row>
    <row r="35" spans="1:12" x14ac:dyDescent="0.25">
      <c r="A35" s="12">
        <v>22</v>
      </c>
      <c r="B35" s="21" t="s">
        <v>80</v>
      </c>
      <c r="C35" s="29">
        <v>11946</v>
      </c>
      <c r="D35" s="190">
        <v>0</v>
      </c>
      <c r="E35" s="190">
        <v>0</v>
      </c>
      <c r="F35" s="190">
        <v>0</v>
      </c>
      <c r="G35" s="190">
        <v>0</v>
      </c>
      <c r="H35" s="23">
        <v>0</v>
      </c>
      <c r="I35" s="73">
        <f t="shared" si="1"/>
        <v>0</v>
      </c>
    </row>
    <row r="36" spans="1:12" x14ac:dyDescent="0.25">
      <c r="A36" s="12">
        <v>23</v>
      </c>
      <c r="B36" s="21" t="s">
        <v>81</v>
      </c>
      <c r="C36" s="29">
        <v>11946</v>
      </c>
      <c r="D36" s="190">
        <v>0</v>
      </c>
      <c r="E36" s="190">
        <v>0</v>
      </c>
      <c r="F36" s="190">
        <v>0</v>
      </c>
      <c r="G36" s="190">
        <v>0</v>
      </c>
      <c r="H36" s="23">
        <v>0</v>
      </c>
      <c r="I36" s="73">
        <f t="shared" si="1"/>
        <v>0</v>
      </c>
    </row>
    <row r="37" spans="1:12" ht="38.25" x14ac:dyDescent="0.25">
      <c r="A37" s="37">
        <v>27</v>
      </c>
      <c r="B37" s="24" t="s">
        <v>116</v>
      </c>
      <c r="C37" s="29">
        <v>11946</v>
      </c>
      <c r="D37" s="190">
        <v>0</v>
      </c>
      <c r="E37" s="190">
        <v>0</v>
      </c>
      <c r="F37" s="190">
        <v>0</v>
      </c>
      <c r="G37" s="190">
        <v>0</v>
      </c>
      <c r="H37" s="23">
        <f t="shared" ref="H37:H38" si="2">E37</f>
        <v>0</v>
      </c>
      <c r="I37" s="73">
        <f t="shared" si="1"/>
        <v>0</v>
      </c>
      <c r="K37" s="34"/>
    </row>
    <row r="38" spans="1:12" ht="36" x14ac:dyDescent="0.25">
      <c r="A38" s="37">
        <v>28</v>
      </c>
      <c r="B38" s="25" t="s">
        <v>37</v>
      </c>
      <c r="C38" s="29">
        <v>11946</v>
      </c>
      <c r="D38" s="190">
        <v>0</v>
      </c>
      <c r="E38" s="190">
        <v>0</v>
      </c>
      <c r="F38" s="190">
        <v>0</v>
      </c>
      <c r="G38" s="190">
        <v>0</v>
      </c>
      <c r="H38" s="23">
        <f t="shared" si="2"/>
        <v>0</v>
      </c>
      <c r="I38" s="73">
        <f t="shared" si="1"/>
        <v>0</v>
      </c>
      <c r="K38" s="34"/>
    </row>
    <row r="39" spans="1:12" x14ac:dyDescent="0.25">
      <c r="A39" s="37"/>
      <c r="B39" s="25"/>
      <c r="C39" s="38"/>
      <c r="D39" s="190"/>
      <c r="E39" s="22"/>
      <c r="F39" s="26"/>
      <c r="G39" s="27"/>
      <c r="H39" s="28"/>
      <c r="I39" s="74"/>
      <c r="K39" s="34">
        <v>298855.8</v>
      </c>
      <c r="L39">
        <v>18971</v>
      </c>
    </row>
    <row r="40" spans="1:12" x14ac:dyDescent="0.25">
      <c r="A40" s="37"/>
      <c r="B40" s="29" t="s">
        <v>38</v>
      </c>
      <c r="C40" s="29">
        <f>SUM(C14:C39)</f>
        <v>314554</v>
      </c>
      <c r="D40" s="190">
        <v>0</v>
      </c>
      <c r="E40" s="190">
        <v>0</v>
      </c>
      <c r="F40" s="190">
        <v>0</v>
      </c>
      <c r="G40" s="119">
        <f>SUM(G14:G39)</f>
        <v>0</v>
      </c>
      <c r="H40" s="191">
        <f>SUM(H14:H39)</f>
        <v>0</v>
      </c>
      <c r="I40" s="191">
        <f>SUM(I14:I39)</f>
        <v>0</v>
      </c>
      <c r="L40">
        <v>17068</v>
      </c>
    </row>
    <row r="41" spans="1:12" ht="15.75" thickBot="1" x14ac:dyDescent="0.3">
      <c r="A41" s="17"/>
      <c r="B41" s="18"/>
      <c r="C41" s="195"/>
      <c r="D41" s="18"/>
      <c r="E41" s="18"/>
      <c r="F41" s="18"/>
      <c r="G41" s="18"/>
      <c r="H41" s="75"/>
      <c r="I41" s="76"/>
    </row>
    <row r="42" spans="1:12" x14ac:dyDescent="0.25">
      <c r="K42" s="34">
        <f>K39-L42</f>
        <v>262816.8</v>
      </c>
      <c r="L42">
        <f>SUM(L39:L41)</f>
        <v>36039</v>
      </c>
    </row>
    <row r="46" spans="1:12" x14ac:dyDescent="0.25">
      <c r="K46">
        <f>K42/22</f>
        <v>11946.218181818182</v>
      </c>
    </row>
  </sheetData>
  <mergeCells count="13">
    <mergeCell ref="C7:E7"/>
    <mergeCell ref="F7:G7"/>
    <mergeCell ref="B2:I2"/>
    <mergeCell ref="B3:I3"/>
    <mergeCell ref="B4:I4"/>
    <mergeCell ref="B5:I5"/>
    <mergeCell ref="B6:I6"/>
    <mergeCell ref="D8:E8"/>
    <mergeCell ref="B9:I9"/>
    <mergeCell ref="D10:F10"/>
    <mergeCell ref="G10:I10"/>
    <mergeCell ref="D11:F11"/>
    <mergeCell ref="G11:I11"/>
  </mergeCells>
  <pageMargins left="0.5" right="0.23622047244094499" top="1.5" bottom="0" header="0" footer="0.31496062992126"/>
  <pageSetup paperSize="9" scale="96" orientation="portrait" horizontalDpi="4294967293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5"/>
  <sheetViews>
    <sheetView topLeftCell="A10" workbookViewId="0">
      <selection activeCell="K22" sqref="K22"/>
    </sheetView>
  </sheetViews>
  <sheetFormatPr defaultRowHeight="15" x14ac:dyDescent="0.25"/>
  <cols>
    <col min="1" max="1" width="4.140625" bestFit="1" customWidth="1"/>
    <col min="2" max="2" width="15.7109375" customWidth="1"/>
    <col min="3" max="3" width="11.5703125" bestFit="1" customWidth="1"/>
    <col min="4" max="4" width="10.5703125" bestFit="1" customWidth="1"/>
    <col min="5" max="6" width="11.140625" bestFit="1" customWidth="1"/>
    <col min="7" max="8" width="10.5703125" bestFit="1" customWidth="1"/>
    <col min="9" max="9" width="14.42578125" bestFit="1" customWidth="1"/>
    <col min="11" max="11" width="10.5703125" bestFit="1" customWidth="1"/>
  </cols>
  <sheetData>
    <row r="1" spans="1:9" ht="15.75" thickBot="1" x14ac:dyDescent="0.3"/>
    <row r="2" spans="1:9" x14ac:dyDescent="0.25">
      <c r="A2" s="68"/>
      <c r="B2" s="239" t="str">
        <f>Sheet2!A9</f>
        <v>SSHIVAAY CONSTRUCTIONS.</v>
      </c>
      <c r="C2" s="239"/>
      <c r="D2" s="239"/>
      <c r="E2" s="239"/>
      <c r="F2" s="239"/>
      <c r="G2" s="239"/>
      <c r="H2" s="239"/>
      <c r="I2" s="240"/>
    </row>
    <row r="3" spans="1:9" x14ac:dyDescent="0.25">
      <c r="A3" s="69"/>
      <c r="B3" s="241" t="str">
        <f>Sheet2!A14</f>
        <v>Name of Work:-Reainforcemant Work.</v>
      </c>
      <c r="C3" s="241"/>
      <c r="D3" s="241"/>
      <c r="E3" s="241"/>
      <c r="F3" s="241"/>
      <c r="G3" s="241"/>
      <c r="H3" s="241"/>
      <c r="I3" s="242"/>
    </row>
    <row r="4" spans="1:9" x14ac:dyDescent="0.25">
      <c r="A4" s="69"/>
      <c r="B4" s="243"/>
      <c r="C4" s="244"/>
      <c r="D4" s="244"/>
      <c r="E4" s="244"/>
      <c r="F4" s="244"/>
      <c r="G4" s="244"/>
      <c r="H4" s="244"/>
      <c r="I4" s="245"/>
    </row>
    <row r="5" spans="1:9" x14ac:dyDescent="0.25">
      <c r="A5" s="69"/>
      <c r="B5" s="241" t="str">
        <f>Sheet2!A16</f>
        <v>Subject :- REF NO. : 01</v>
      </c>
      <c r="C5" s="241"/>
      <c r="D5" s="241"/>
      <c r="E5" s="241"/>
      <c r="F5" s="241"/>
      <c r="G5" s="241"/>
      <c r="H5" s="241"/>
      <c r="I5" s="242"/>
    </row>
    <row r="6" spans="1:9" x14ac:dyDescent="0.25">
      <c r="A6" s="69"/>
      <c r="B6" s="241" t="s">
        <v>112</v>
      </c>
      <c r="C6" s="241"/>
      <c r="D6" s="241"/>
      <c r="E6" s="241"/>
      <c r="F6" s="241"/>
      <c r="G6" s="241"/>
      <c r="H6" s="241"/>
      <c r="I6" s="242"/>
    </row>
    <row r="7" spans="1:9" x14ac:dyDescent="0.25">
      <c r="A7" s="69"/>
      <c r="B7" s="19"/>
      <c r="C7" s="237" t="s">
        <v>29</v>
      </c>
      <c r="D7" s="237"/>
      <c r="E7" s="237"/>
      <c r="F7" s="238"/>
      <c r="G7" s="238"/>
      <c r="H7" s="19"/>
      <c r="I7" s="70"/>
    </row>
    <row r="8" spans="1:9" x14ac:dyDescent="0.25">
      <c r="A8" s="71"/>
      <c r="B8" s="15" t="s">
        <v>30</v>
      </c>
      <c r="C8" s="15" t="s">
        <v>66</v>
      </c>
      <c r="D8" s="232">
        <f>C24</f>
        <v>24750</v>
      </c>
      <c r="E8" s="232"/>
      <c r="F8" s="15" t="s">
        <v>31</v>
      </c>
      <c r="G8" s="20">
        <v>52</v>
      </c>
      <c r="H8" s="15"/>
      <c r="I8" s="72">
        <f>D8*G8</f>
        <v>1287000</v>
      </c>
    </row>
    <row r="9" spans="1:9" x14ac:dyDescent="0.25">
      <c r="A9" s="69"/>
      <c r="B9" s="233"/>
      <c r="C9" s="233"/>
      <c r="D9" s="233"/>
      <c r="E9" s="233"/>
      <c r="F9" s="233"/>
      <c r="G9" s="233"/>
      <c r="H9" s="233"/>
      <c r="I9" s="234"/>
    </row>
    <row r="10" spans="1:9" x14ac:dyDescent="0.25">
      <c r="A10" s="16" t="s">
        <v>32</v>
      </c>
      <c r="B10" s="15" t="s">
        <v>33</v>
      </c>
      <c r="C10" s="15" t="s">
        <v>65</v>
      </c>
      <c r="D10" s="235" t="s">
        <v>34</v>
      </c>
      <c r="E10" s="235"/>
      <c r="F10" s="235"/>
      <c r="G10" s="235" t="s">
        <v>3</v>
      </c>
      <c r="H10" s="235"/>
      <c r="I10" s="236"/>
    </row>
    <row r="11" spans="1:9" x14ac:dyDescent="0.25">
      <c r="A11" s="12" t="s">
        <v>19</v>
      </c>
      <c r="B11" s="15" t="s">
        <v>35</v>
      </c>
      <c r="C11" s="13"/>
      <c r="D11" s="233"/>
      <c r="E11" s="233"/>
      <c r="F11" s="233"/>
      <c r="G11" s="233"/>
      <c r="H11" s="233"/>
      <c r="I11" s="234"/>
    </row>
    <row r="12" spans="1:9" x14ac:dyDescent="0.25">
      <c r="A12" s="12"/>
      <c r="B12" s="13" t="s">
        <v>72</v>
      </c>
      <c r="C12" s="13"/>
      <c r="D12" s="13" t="s">
        <v>16</v>
      </c>
      <c r="E12" s="13" t="s">
        <v>17</v>
      </c>
      <c r="F12" s="13" t="s">
        <v>18</v>
      </c>
      <c r="G12" s="13" t="s">
        <v>16</v>
      </c>
      <c r="H12" s="13" t="s">
        <v>17</v>
      </c>
      <c r="I12" s="14" t="s">
        <v>18</v>
      </c>
    </row>
    <row r="13" spans="1:9" x14ac:dyDescent="0.25">
      <c r="A13" s="12"/>
      <c r="B13" s="13" t="s">
        <v>73</v>
      </c>
      <c r="C13" s="13"/>
      <c r="D13" s="13" t="s">
        <v>21</v>
      </c>
      <c r="E13" s="13" t="s">
        <v>21</v>
      </c>
      <c r="F13" s="13" t="s">
        <v>21</v>
      </c>
      <c r="G13" s="13" t="s">
        <v>3</v>
      </c>
      <c r="H13" s="13" t="s">
        <v>3</v>
      </c>
      <c r="I13" s="14" t="s">
        <v>3</v>
      </c>
    </row>
    <row r="14" spans="1:9" x14ac:dyDescent="0.25">
      <c r="A14" s="37">
        <v>1</v>
      </c>
      <c r="B14" s="21" t="s">
        <v>96</v>
      </c>
      <c r="C14" s="118">
        <v>2750</v>
      </c>
      <c r="D14" s="196">
        <v>0</v>
      </c>
      <c r="E14" s="197">
        <f>C14</f>
        <v>2750</v>
      </c>
      <c r="F14" s="196">
        <f>D14+E14</f>
        <v>2750</v>
      </c>
      <c r="G14" s="196">
        <f>D14*G8</f>
        <v>0</v>
      </c>
      <c r="H14" s="198">
        <f>E14*G8</f>
        <v>143000</v>
      </c>
      <c r="I14" s="199">
        <f t="shared" ref="I14:I22" si="0">G14+H14</f>
        <v>143000</v>
      </c>
    </row>
    <row r="15" spans="1:9" x14ac:dyDescent="0.25">
      <c r="A15" s="37">
        <v>2</v>
      </c>
      <c r="B15" s="21" t="s">
        <v>76</v>
      </c>
      <c r="C15" s="118">
        <v>2750</v>
      </c>
      <c r="D15" s="196">
        <v>0</v>
      </c>
      <c r="E15" s="197">
        <v>1924</v>
      </c>
      <c r="F15" s="196">
        <f>D15+E15</f>
        <v>1924</v>
      </c>
      <c r="G15" s="196">
        <f>D15*G8</f>
        <v>0</v>
      </c>
      <c r="H15" s="198">
        <f>E15*G8</f>
        <v>100048</v>
      </c>
      <c r="I15" s="199">
        <f t="shared" si="0"/>
        <v>100048</v>
      </c>
    </row>
    <row r="16" spans="1:9" x14ac:dyDescent="0.25">
      <c r="A16" s="37">
        <v>3</v>
      </c>
      <c r="B16" s="21" t="s">
        <v>77</v>
      </c>
      <c r="C16" s="118">
        <v>2750</v>
      </c>
      <c r="D16" s="200">
        <v>0</v>
      </c>
      <c r="E16" s="200">
        <v>0</v>
      </c>
      <c r="F16" s="200">
        <v>0</v>
      </c>
      <c r="G16" s="200">
        <v>0</v>
      </c>
      <c r="H16" s="200">
        <v>0</v>
      </c>
      <c r="I16" s="200">
        <v>0</v>
      </c>
    </row>
    <row r="17" spans="1:11" x14ac:dyDescent="0.25">
      <c r="A17" s="37">
        <v>4</v>
      </c>
      <c r="B17" s="21" t="s">
        <v>78</v>
      </c>
      <c r="C17" s="118">
        <v>2750</v>
      </c>
      <c r="D17" s="190">
        <v>0</v>
      </c>
      <c r="E17" s="190">
        <v>0</v>
      </c>
      <c r="F17" s="190">
        <v>0</v>
      </c>
      <c r="G17" s="190">
        <v>0</v>
      </c>
      <c r="H17" s="23">
        <v>0</v>
      </c>
      <c r="I17" s="73">
        <f t="shared" si="0"/>
        <v>0</v>
      </c>
    </row>
    <row r="18" spans="1:11" x14ac:dyDescent="0.25">
      <c r="A18" s="37">
        <v>5</v>
      </c>
      <c r="B18" s="21" t="s">
        <v>36</v>
      </c>
      <c r="C18" s="118">
        <v>2750</v>
      </c>
      <c r="D18" s="190">
        <v>0</v>
      </c>
      <c r="E18" s="190">
        <v>0</v>
      </c>
      <c r="F18" s="190">
        <v>0</v>
      </c>
      <c r="G18" s="190">
        <v>0</v>
      </c>
      <c r="H18" s="23">
        <v>0</v>
      </c>
      <c r="I18" s="73">
        <f t="shared" si="0"/>
        <v>0</v>
      </c>
    </row>
    <row r="19" spans="1:11" x14ac:dyDescent="0.25">
      <c r="A19" s="37">
        <v>6</v>
      </c>
      <c r="B19" s="21" t="s">
        <v>79</v>
      </c>
      <c r="C19" s="118">
        <v>2750</v>
      </c>
      <c r="D19" s="190">
        <v>0</v>
      </c>
      <c r="E19" s="190">
        <v>0</v>
      </c>
      <c r="F19" s="190">
        <v>0</v>
      </c>
      <c r="G19" s="190">
        <v>0</v>
      </c>
      <c r="H19" s="23">
        <v>0</v>
      </c>
      <c r="I19" s="73">
        <f t="shared" si="0"/>
        <v>0</v>
      </c>
    </row>
    <row r="20" spans="1:11" x14ac:dyDescent="0.25">
      <c r="A20" s="37">
        <v>7</v>
      </c>
      <c r="B20" s="21" t="s">
        <v>80</v>
      </c>
      <c r="C20" s="118">
        <v>2750</v>
      </c>
      <c r="D20" s="190">
        <v>0</v>
      </c>
      <c r="E20" s="190">
        <v>0</v>
      </c>
      <c r="F20" s="190">
        <v>0</v>
      </c>
      <c r="G20" s="190">
        <v>0</v>
      </c>
      <c r="H20" s="23">
        <v>0</v>
      </c>
      <c r="I20" s="73">
        <f t="shared" si="0"/>
        <v>0</v>
      </c>
    </row>
    <row r="21" spans="1:11" ht="38.25" x14ac:dyDescent="0.25">
      <c r="A21" s="37">
        <v>11</v>
      </c>
      <c r="B21" s="24" t="s">
        <v>115</v>
      </c>
      <c r="C21" s="118">
        <v>2750</v>
      </c>
      <c r="D21" s="190">
        <v>0</v>
      </c>
      <c r="E21" s="190">
        <v>0</v>
      </c>
      <c r="F21" s="190">
        <v>0</v>
      </c>
      <c r="G21" s="190">
        <v>0</v>
      </c>
      <c r="H21" s="23">
        <f t="shared" ref="H21:H22" si="1">E21</f>
        <v>0</v>
      </c>
      <c r="I21" s="73">
        <f t="shared" si="0"/>
        <v>0</v>
      </c>
      <c r="K21" s="34"/>
    </row>
    <row r="22" spans="1:11" ht="36" x14ac:dyDescent="0.25">
      <c r="A22" s="37">
        <v>12</v>
      </c>
      <c r="B22" s="25" t="s">
        <v>37</v>
      </c>
      <c r="C22" s="118">
        <v>2750</v>
      </c>
      <c r="D22" s="190">
        <v>0</v>
      </c>
      <c r="E22" s="190">
        <v>0</v>
      </c>
      <c r="F22" s="190">
        <v>0</v>
      </c>
      <c r="G22" s="190">
        <v>0</v>
      </c>
      <c r="H22" s="23">
        <f t="shared" si="1"/>
        <v>0</v>
      </c>
      <c r="I22" s="73">
        <f t="shared" si="0"/>
        <v>0</v>
      </c>
      <c r="K22" s="34"/>
    </row>
    <row r="23" spans="1:11" x14ac:dyDescent="0.25">
      <c r="A23" s="37"/>
      <c r="B23" s="25"/>
      <c r="C23" s="28"/>
      <c r="D23" s="190"/>
      <c r="E23" s="190"/>
      <c r="F23" s="190"/>
      <c r="G23" s="27"/>
      <c r="H23" s="28"/>
      <c r="I23" s="74"/>
      <c r="K23" s="34"/>
    </row>
    <row r="24" spans="1:11" x14ac:dyDescent="0.25">
      <c r="A24" s="37"/>
      <c r="B24" s="29" t="s">
        <v>38</v>
      </c>
      <c r="C24" s="38">
        <f t="shared" ref="C24:I24" si="2">SUM(C14:C23)</f>
        <v>24750</v>
      </c>
      <c r="D24" s="190">
        <v>0</v>
      </c>
      <c r="E24" s="190">
        <f>SUM(E14:E23)</f>
        <v>4674</v>
      </c>
      <c r="F24" s="190">
        <v>0</v>
      </c>
      <c r="G24" s="119">
        <f t="shared" si="2"/>
        <v>0</v>
      </c>
      <c r="H24" s="191">
        <f>SUM(H14:H23)</f>
        <v>243048</v>
      </c>
      <c r="I24" s="192">
        <f t="shared" si="2"/>
        <v>243048</v>
      </c>
    </row>
    <row r="25" spans="1:11" ht="15.75" thickBot="1" x14ac:dyDescent="0.3">
      <c r="A25" s="17"/>
      <c r="B25" s="18"/>
      <c r="C25" s="18"/>
      <c r="D25" s="18"/>
      <c r="E25" s="194"/>
      <c r="F25" s="18"/>
      <c r="G25" s="18"/>
      <c r="H25" s="75"/>
      <c r="I25" s="76"/>
    </row>
  </sheetData>
  <mergeCells count="13">
    <mergeCell ref="C7:E7"/>
    <mergeCell ref="F7:G7"/>
    <mergeCell ref="B2:I2"/>
    <mergeCell ref="B3:I3"/>
    <mergeCell ref="B5:I5"/>
    <mergeCell ref="B6:I6"/>
    <mergeCell ref="B4:I4"/>
    <mergeCell ref="D8:E8"/>
    <mergeCell ref="B9:I9"/>
    <mergeCell ref="D10:F10"/>
    <mergeCell ref="G10:I10"/>
    <mergeCell ref="D11:F11"/>
    <mergeCell ref="G11:I11"/>
  </mergeCells>
  <phoneticPr fontId="23" type="noConversion"/>
  <pageMargins left="0.5" right="0.23622047244094499" top="1.5" bottom="0" header="0" footer="0.31496062992126"/>
  <pageSetup paperSize="9" scale="96" orientation="portrait" horizontalDpi="4294967293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22"/>
  <sheetViews>
    <sheetView topLeftCell="A7" workbookViewId="0">
      <selection activeCell="L14" sqref="L14"/>
    </sheetView>
  </sheetViews>
  <sheetFormatPr defaultRowHeight="15" x14ac:dyDescent="0.25"/>
  <cols>
    <col min="1" max="1" width="9.5703125" customWidth="1"/>
    <col min="2" max="2" width="6.7109375" customWidth="1"/>
    <col min="3" max="3" width="20.42578125" customWidth="1"/>
    <col min="4" max="4" width="4.7109375" bestFit="1" customWidth="1"/>
    <col min="5" max="5" width="7.5703125" bestFit="1" customWidth="1"/>
    <col min="6" max="6" width="6.140625" bestFit="1" customWidth="1"/>
    <col min="7" max="7" width="6.28515625" bestFit="1" customWidth="1"/>
    <col min="8" max="8" width="5.42578125" bestFit="1" customWidth="1"/>
    <col min="9" max="9" width="7.28515625" bestFit="1" customWidth="1"/>
    <col min="10" max="10" width="15" bestFit="1" customWidth="1"/>
  </cols>
  <sheetData>
    <row r="2" spans="1:10" ht="15.75" thickBot="1" x14ac:dyDescent="0.3"/>
    <row r="3" spans="1:10" x14ac:dyDescent="0.25">
      <c r="A3" s="246" t="str">
        <f>Sheet2!A9</f>
        <v>SSHIVAAY CONSTRUCTIONS.</v>
      </c>
      <c r="B3" s="247"/>
      <c r="C3" s="247"/>
      <c r="D3" s="247"/>
      <c r="E3" s="247"/>
      <c r="F3" s="247"/>
      <c r="G3" s="247"/>
      <c r="H3" s="247"/>
      <c r="I3" s="247"/>
      <c r="J3" s="248"/>
    </row>
    <row r="4" spans="1:10" ht="18" customHeight="1" x14ac:dyDescent="0.25">
      <c r="A4" s="249" t="s">
        <v>83</v>
      </c>
      <c r="B4" s="250"/>
      <c r="C4" s="250"/>
      <c r="D4" s="250"/>
      <c r="E4" s="250"/>
      <c r="F4" s="250"/>
      <c r="G4" s="250"/>
      <c r="H4" s="251"/>
      <c r="I4" s="273" t="str">
        <f>Sheet2!I8</f>
        <v>Date : 05-05-2026</v>
      </c>
      <c r="J4" s="274"/>
    </row>
    <row r="5" spans="1:10" ht="15.75" thickBot="1" x14ac:dyDescent="0.3">
      <c r="A5" s="270" t="s">
        <v>39</v>
      </c>
      <c r="B5" s="271"/>
      <c r="C5" s="271"/>
      <c r="D5" s="271"/>
      <c r="E5" s="271"/>
      <c r="F5" s="271"/>
      <c r="G5" s="271"/>
      <c r="H5" s="271"/>
      <c r="I5" s="271"/>
      <c r="J5" s="272"/>
    </row>
    <row r="6" spans="1:10" ht="38.25" x14ac:dyDescent="0.25">
      <c r="A6" s="40" t="s">
        <v>40</v>
      </c>
      <c r="B6" s="41" t="s">
        <v>41</v>
      </c>
      <c r="C6" s="42" t="s">
        <v>50</v>
      </c>
      <c r="D6" s="43" t="s">
        <v>42</v>
      </c>
      <c r="E6" s="42" t="s">
        <v>51</v>
      </c>
      <c r="F6" s="42" t="s">
        <v>52</v>
      </c>
      <c r="G6" s="42" t="s">
        <v>67</v>
      </c>
      <c r="H6" s="44" t="s">
        <v>51</v>
      </c>
      <c r="I6" s="44" t="s">
        <v>53</v>
      </c>
      <c r="J6" s="45" t="s">
        <v>43</v>
      </c>
    </row>
    <row r="7" spans="1:10" ht="40.5" x14ac:dyDescent="0.25">
      <c r="A7" s="53">
        <v>46121</v>
      </c>
      <c r="B7" s="50">
        <v>9</v>
      </c>
      <c r="C7" s="49" t="s">
        <v>110</v>
      </c>
      <c r="D7" s="51">
        <v>2</v>
      </c>
      <c r="E7" s="51">
        <v>8</v>
      </c>
      <c r="F7" s="51">
        <f>D7*E7</f>
        <v>16</v>
      </c>
      <c r="G7" s="51">
        <v>0</v>
      </c>
      <c r="H7" s="51">
        <v>0</v>
      </c>
      <c r="I7" s="51">
        <f>G7*H7</f>
        <v>0</v>
      </c>
      <c r="J7" s="54"/>
    </row>
    <row r="8" spans="1:10" ht="54" x14ac:dyDescent="0.25">
      <c r="A8" s="53">
        <v>46122</v>
      </c>
      <c r="B8" s="50">
        <v>9</v>
      </c>
      <c r="C8" s="49" t="s">
        <v>111</v>
      </c>
      <c r="D8" s="51">
        <v>4</v>
      </c>
      <c r="E8" s="51">
        <v>8</v>
      </c>
      <c r="F8" s="51">
        <f t="shared" ref="F8:F13" si="0">D8*E8</f>
        <v>32</v>
      </c>
      <c r="G8" s="51">
        <v>1</v>
      </c>
      <c r="H8" s="51">
        <v>10</v>
      </c>
      <c r="I8" s="51">
        <f t="shared" ref="I8:I13" si="1">G8*H8</f>
        <v>10</v>
      </c>
      <c r="J8" s="54"/>
    </row>
    <row r="9" spans="1:10" x14ac:dyDescent="0.25">
      <c r="A9" s="53"/>
      <c r="B9" s="50"/>
      <c r="C9" s="49"/>
      <c r="D9" s="51"/>
      <c r="E9" s="51"/>
      <c r="F9" s="51">
        <f t="shared" si="0"/>
        <v>0</v>
      </c>
      <c r="G9" s="51"/>
      <c r="H9" s="51"/>
      <c r="I9" s="51">
        <f t="shared" si="1"/>
        <v>0</v>
      </c>
      <c r="J9" s="54"/>
    </row>
    <row r="10" spans="1:10" x14ac:dyDescent="0.25">
      <c r="A10" s="53"/>
      <c r="B10" s="50"/>
      <c r="C10" s="49"/>
      <c r="D10" s="51"/>
      <c r="E10" s="51"/>
      <c r="F10" s="51">
        <f t="shared" si="0"/>
        <v>0</v>
      </c>
      <c r="G10" s="51"/>
      <c r="H10" s="51"/>
      <c r="I10" s="51">
        <f t="shared" si="1"/>
        <v>0</v>
      </c>
      <c r="J10" s="54"/>
    </row>
    <row r="11" spans="1:10" x14ac:dyDescent="0.25">
      <c r="A11" s="53"/>
      <c r="B11" s="50"/>
      <c r="C11" s="49"/>
      <c r="D11" s="51"/>
      <c r="E11" s="51"/>
      <c r="F11" s="51">
        <f t="shared" si="0"/>
        <v>0</v>
      </c>
      <c r="G11" s="51"/>
      <c r="H11" s="51"/>
      <c r="I11" s="51">
        <f t="shared" si="1"/>
        <v>0</v>
      </c>
      <c r="J11" s="54"/>
    </row>
    <row r="12" spans="1:10" x14ac:dyDescent="0.25">
      <c r="A12" s="53"/>
      <c r="B12" s="50"/>
      <c r="C12" s="49"/>
      <c r="D12" s="51"/>
      <c r="E12" s="51"/>
      <c r="F12" s="51">
        <f t="shared" si="0"/>
        <v>0</v>
      </c>
      <c r="G12" s="51"/>
      <c r="H12" s="51"/>
      <c r="I12" s="51">
        <f t="shared" si="1"/>
        <v>0</v>
      </c>
      <c r="J12" s="54"/>
    </row>
    <row r="13" spans="1:10" x14ac:dyDescent="0.25">
      <c r="A13" s="53"/>
      <c r="B13" s="50"/>
      <c r="C13" s="49"/>
      <c r="D13" s="51"/>
      <c r="E13" s="51"/>
      <c r="F13" s="51">
        <f t="shared" si="0"/>
        <v>0</v>
      </c>
      <c r="G13" s="51"/>
      <c r="H13" s="51"/>
      <c r="I13" s="51">
        <f t="shared" si="1"/>
        <v>0</v>
      </c>
      <c r="J13" s="54"/>
    </row>
    <row r="14" spans="1:10" ht="26.25" customHeight="1" x14ac:dyDescent="0.25">
      <c r="A14" s="53"/>
      <c r="B14" s="50"/>
      <c r="C14" s="49"/>
      <c r="D14" s="50"/>
      <c r="E14" s="50"/>
      <c r="F14" s="50"/>
      <c r="G14" s="52"/>
      <c r="H14" s="51"/>
      <c r="I14" s="51"/>
      <c r="J14" s="54"/>
    </row>
    <row r="15" spans="1:10" x14ac:dyDescent="0.25">
      <c r="A15" s="53"/>
      <c r="B15" s="50"/>
      <c r="C15" s="49"/>
      <c r="D15" s="50"/>
      <c r="E15" s="51"/>
      <c r="F15" s="50"/>
      <c r="G15" s="50"/>
      <c r="H15" s="50"/>
      <c r="I15" s="50"/>
      <c r="J15" s="54"/>
    </row>
    <row r="16" spans="1:10" ht="16.5" thickBot="1" x14ac:dyDescent="0.3">
      <c r="A16" s="62"/>
      <c r="B16" s="63"/>
      <c r="C16" s="63" t="s">
        <v>44</v>
      </c>
      <c r="D16" s="63"/>
      <c r="E16" s="64"/>
      <c r="F16" s="65">
        <f>SUM(F7:F15)</f>
        <v>48</v>
      </c>
      <c r="G16" s="63"/>
      <c r="H16" s="63"/>
      <c r="I16" s="66">
        <f>SUM(I7:I15)</f>
        <v>10</v>
      </c>
      <c r="J16" s="67"/>
    </row>
    <row r="17" spans="1:10" x14ac:dyDescent="0.25">
      <c r="A17" s="59"/>
      <c r="B17" s="55"/>
      <c r="C17" s="55"/>
      <c r="D17" s="55"/>
      <c r="E17" s="56"/>
      <c r="F17" s="55"/>
      <c r="G17" s="55"/>
      <c r="H17" s="55"/>
      <c r="I17" s="55"/>
      <c r="J17" s="60"/>
    </row>
    <row r="18" spans="1:10" x14ac:dyDescent="0.25">
      <c r="A18" s="46"/>
      <c r="B18" s="47"/>
      <c r="C18" s="277"/>
      <c r="D18" s="278"/>
      <c r="E18" s="261" t="s">
        <v>69</v>
      </c>
      <c r="F18" s="262"/>
      <c r="G18" s="255" t="s">
        <v>68</v>
      </c>
      <c r="H18" s="256"/>
      <c r="I18" s="48"/>
      <c r="J18" s="252"/>
    </row>
    <row r="19" spans="1:10" x14ac:dyDescent="0.25">
      <c r="A19" s="30"/>
      <c r="B19" s="31"/>
      <c r="C19" s="279" t="s">
        <v>45</v>
      </c>
      <c r="D19" s="280"/>
      <c r="E19" s="263">
        <f>F16/8</f>
        <v>6</v>
      </c>
      <c r="F19" s="264"/>
      <c r="G19" s="257">
        <f>I16/8</f>
        <v>1.25</v>
      </c>
      <c r="H19" s="258"/>
      <c r="I19" s="39"/>
      <c r="J19" s="253"/>
    </row>
    <row r="20" spans="1:10" ht="15.75" thickBot="1" x14ac:dyDescent="0.3">
      <c r="A20" s="32"/>
      <c r="B20" s="33"/>
      <c r="C20" s="259" t="s">
        <v>15</v>
      </c>
      <c r="D20" s="260"/>
      <c r="E20" s="275">
        <v>1100</v>
      </c>
      <c r="F20" s="276"/>
      <c r="G20" s="259">
        <v>800</v>
      </c>
      <c r="H20" s="260"/>
      <c r="I20" s="61"/>
      <c r="J20" s="254"/>
    </row>
    <row r="21" spans="1:10" ht="15.75" thickBot="1" x14ac:dyDescent="0.3">
      <c r="A21" s="57"/>
      <c r="B21" s="58"/>
      <c r="C21" s="281" t="s">
        <v>46</v>
      </c>
      <c r="D21" s="282"/>
      <c r="E21" s="283">
        <f>E20*E19</f>
        <v>6600</v>
      </c>
      <c r="F21" s="284"/>
      <c r="G21" s="265">
        <f>G20*G19</f>
        <v>1000</v>
      </c>
      <c r="H21" s="266"/>
      <c r="I21" s="267">
        <f>E21+G21</f>
        <v>7600</v>
      </c>
      <c r="J21" s="268"/>
    </row>
    <row r="22" spans="1:10" x14ac:dyDescent="0.25">
      <c r="A22" s="269"/>
      <c r="B22" s="269"/>
      <c r="C22" s="269"/>
      <c r="D22" s="269"/>
      <c r="E22" s="269"/>
      <c r="F22" s="269"/>
      <c r="G22" s="269"/>
      <c r="H22" s="269"/>
      <c r="I22" s="269"/>
      <c r="J22" s="269"/>
    </row>
  </sheetData>
  <mergeCells count="19">
    <mergeCell ref="G21:H21"/>
    <mergeCell ref="I21:J21"/>
    <mergeCell ref="A22:J22"/>
    <mergeCell ref="A5:J5"/>
    <mergeCell ref="I4:J4"/>
    <mergeCell ref="E20:F20"/>
    <mergeCell ref="C18:D18"/>
    <mergeCell ref="C19:D19"/>
    <mergeCell ref="C20:D20"/>
    <mergeCell ref="C21:D21"/>
    <mergeCell ref="E21:F21"/>
    <mergeCell ref="A3:J3"/>
    <mergeCell ref="A4:H4"/>
    <mergeCell ref="J18:J20"/>
    <mergeCell ref="G18:H18"/>
    <mergeCell ref="G19:H19"/>
    <mergeCell ref="G20:H20"/>
    <mergeCell ref="E18:F18"/>
    <mergeCell ref="E19:F19"/>
  </mergeCells>
  <phoneticPr fontId="23" type="noConversion"/>
  <pageMargins left="0.65" right="0.4" top="1.33858267716535" bottom="0.74803149606299202" header="0.31496062992126" footer="0.31496062992126"/>
  <pageSetup paperSize="9" orientation="portrait" horizontalDpi="4294967293" verticalDpi="36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L107"/>
  <sheetViews>
    <sheetView workbookViewId="0">
      <selection activeCell="N13" sqref="N13"/>
    </sheetView>
  </sheetViews>
  <sheetFormatPr defaultRowHeight="15" x14ac:dyDescent="0.25"/>
  <cols>
    <col min="1" max="1" width="5.28515625" bestFit="1" customWidth="1"/>
    <col min="2" max="2" width="10.7109375" bestFit="1" customWidth="1"/>
    <col min="3" max="3" width="10.5703125" customWidth="1"/>
    <col min="4" max="4" width="10.5703125" bestFit="1" customWidth="1"/>
    <col min="5" max="5" width="9.5703125" bestFit="1" customWidth="1"/>
    <col min="6" max="6" width="10.5703125" bestFit="1" customWidth="1"/>
    <col min="7" max="7" width="12.5703125" bestFit="1" customWidth="1"/>
    <col min="8" max="9" width="10.5703125" bestFit="1" customWidth="1"/>
    <col min="10" max="10" width="11.28515625" bestFit="1" customWidth="1"/>
    <col min="11" max="12" width="10.5703125" bestFit="1" customWidth="1"/>
    <col min="14" max="14" width="13.28515625" bestFit="1" customWidth="1"/>
  </cols>
  <sheetData>
    <row r="2" spans="1:12" ht="15.75" thickBot="1" x14ac:dyDescent="0.3"/>
    <row r="3" spans="1:12" ht="22.5" x14ac:dyDescent="0.25">
      <c r="A3" s="77" t="s">
        <v>54</v>
      </c>
      <c r="B3" s="78" t="s">
        <v>55</v>
      </c>
      <c r="C3" s="78" t="s">
        <v>56</v>
      </c>
      <c r="D3" s="78" t="s">
        <v>57</v>
      </c>
      <c r="E3" s="79" t="s">
        <v>125</v>
      </c>
      <c r="F3" s="78" t="s">
        <v>58</v>
      </c>
      <c r="G3" s="79" t="s">
        <v>59</v>
      </c>
      <c r="H3" s="79" t="s">
        <v>60</v>
      </c>
      <c r="I3" s="78" t="s">
        <v>61</v>
      </c>
      <c r="J3" s="78" t="s">
        <v>62</v>
      </c>
      <c r="K3" s="78" t="s">
        <v>63</v>
      </c>
      <c r="L3" s="80" t="s">
        <v>62</v>
      </c>
    </row>
    <row r="4" spans="1:12" x14ac:dyDescent="0.25">
      <c r="A4" s="150">
        <v>1</v>
      </c>
      <c r="B4" s="154">
        <v>46123</v>
      </c>
      <c r="C4" s="151"/>
      <c r="D4" s="151"/>
      <c r="E4" s="152"/>
      <c r="F4" s="151" t="s">
        <v>94</v>
      </c>
      <c r="G4" s="188">
        <v>15000</v>
      </c>
      <c r="H4" s="152"/>
      <c r="I4" s="151"/>
      <c r="J4" s="151"/>
      <c r="K4" s="151"/>
      <c r="L4" s="153"/>
    </row>
    <row r="5" spans="1:12" x14ac:dyDescent="0.25">
      <c r="A5" s="150">
        <v>2</v>
      </c>
      <c r="B5" s="154">
        <v>46130</v>
      </c>
      <c r="C5" s="151"/>
      <c r="D5" s="151"/>
      <c r="E5" s="152"/>
      <c r="F5" s="151" t="s">
        <v>94</v>
      </c>
      <c r="G5" s="188">
        <v>15000</v>
      </c>
      <c r="H5" s="152"/>
      <c r="I5" s="151"/>
      <c r="J5" s="151"/>
      <c r="K5" s="151"/>
      <c r="L5" s="153"/>
    </row>
    <row r="6" spans="1:12" x14ac:dyDescent="0.25">
      <c r="A6" s="150">
        <v>3</v>
      </c>
      <c r="B6" s="154">
        <v>46138</v>
      </c>
      <c r="C6" s="151"/>
      <c r="D6" s="151"/>
      <c r="E6" s="152"/>
      <c r="F6" s="151" t="s">
        <v>94</v>
      </c>
      <c r="G6" s="188">
        <v>15000</v>
      </c>
      <c r="H6" s="152"/>
      <c r="I6" s="151"/>
      <c r="J6" s="151"/>
      <c r="K6" s="151"/>
      <c r="L6" s="153"/>
    </row>
    <row r="7" spans="1:12" x14ac:dyDescent="0.25">
      <c r="A7" s="150">
        <v>4</v>
      </c>
      <c r="B7" s="154">
        <v>46151</v>
      </c>
      <c r="C7" s="151"/>
      <c r="D7" s="151"/>
      <c r="E7" s="152"/>
      <c r="F7" s="151" t="s">
        <v>93</v>
      </c>
      <c r="G7" s="188">
        <v>22500</v>
      </c>
      <c r="H7" s="152"/>
      <c r="I7" s="151"/>
      <c r="J7" s="151"/>
      <c r="K7" s="151"/>
      <c r="L7" s="153"/>
    </row>
    <row r="8" spans="1:12" x14ac:dyDescent="0.25">
      <c r="A8" s="150">
        <v>5</v>
      </c>
      <c r="B8" s="154">
        <v>46158</v>
      </c>
      <c r="C8" s="151"/>
      <c r="D8" s="151"/>
      <c r="E8" s="152"/>
      <c r="F8" s="151" t="s">
        <v>82</v>
      </c>
      <c r="G8" s="189">
        <v>141570</v>
      </c>
      <c r="H8" s="152"/>
      <c r="I8" s="151"/>
      <c r="J8" s="151"/>
      <c r="K8" s="151"/>
      <c r="L8" s="153"/>
    </row>
    <row r="9" spans="1:12" x14ac:dyDescent="0.25">
      <c r="A9" s="150">
        <v>6</v>
      </c>
      <c r="B9" s="154">
        <v>46165</v>
      </c>
      <c r="C9" s="151"/>
      <c r="D9" s="151"/>
      <c r="E9" s="152"/>
      <c r="F9" s="151" t="s">
        <v>93</v>
      </c>
      <c r="G9" s="188">
        <v>24000</v>
      </c>
      <c r="H9" s="152"/>
      <c r="I9" s="151"/>
      <c r="J9" s="151"/>
      <c r="K9" s="151"/>
      <c r="L9" s="153"/>
    </row>
    <row r="10" spans="1:12" x14ac:dyDescent="0.25">
      <c r="A10" s="150">
        <v>7</v>
      </c>
      <c r="B10" s="154">
        <v>46171</v>
      </c>
      <c r="C10" s="151"/>
      <c r="D10" s="151"/>
      <c r="E10" s="152"/>
      <c r="F10" s="151" t="s">
        <v>82</v>
      </c>
      <c r="G10" s="189">
        <v>99000</v>
      </c>
      <c r="H10" s="152"/>
      <c r="I10" s="151"/>
      <c r="J10" s="151"/>
      <c r="K10" s="151"/>
      <c r="L10" s="153"/>
    </row>
    <row r="11" spans="1:12" x14ac:dyDescent="0.25">
      <c r="A11" s="81"/>
      <c r="B11" s="82"/>
      <c r="C11" s="296" t="s">
        <v>95</v>
      </c>
      <c r="D11" s="83"/>
      <c r="E11" s="84"/>
      <c r="F11" s="83"/>
      <c r="G11" s="148"/>
      <c r="H11" s="83"/>
      <c r="I11" s="83"/>
      <c r="J11" s="83"/>
      <c r="K11" s="83"/>
      <c r="L11" s="122"/>
    </row>
    <row r="12" spans="1:12" ht="18" customHeight="1" x14ac:dyDescent="0.25">
      <c r="A12" s="81"/>
      <c r="B12" s="85"/>
      <c r="C12" s="296"/>
      <c r="D12" s="297">
        <f>Sheet1!C28</f>
        <v>250648</v>
      </c>
      <c r="E12" s="299">
        <f>D12*0%</f>
        <v>0</v>
      </c>
      <c r="F12" s="301">
        <f>D12-E12</f>
        <v>250648</v>
      </c>
      <c r="G12" s="289"/>
      <c r="H12" s="291">
        <f>D12*1%</f>
        <v>2506.48</v>
      </c>
      <c r="I12" s="293"/>
      <c r="J12" s="293"/>
      <c r="K12" s="285">
        <f>D12*18%</f>
        <v>45116.639999999999</v>
      </c>
      <c r="L12" s="287"/>
    </row>
    <row r="13" spans="1:12" ht="17.25" customHeight="1" x14ac:dyDescent="0.25">
      <c r="A13" s="81"/>
      <c r="B13" s="85"/>
      <c r="C13" s="296"/>
      <c r="D13" s="298"/>
      <c r="E13" s="300"/>
      <c r="F13" s="290"/>
      <c r="G13" s="290"/>
      <c r="H13" s="292"/>
      <c r="I13" s="294"/>
      <c r="J13" s="294"/>
      <c r="K13" s="286"/>
      <c r="L13" s="288"/>
    </row>
    <row r="14" spans="1:12" x14ac:dyDescent="0.25">
      <c r="A14" s="81"/>
      <c r="B14" s="295" t="s">
        <v>46</v>
      </c>
      <c r="C14" s="295"/>
      <c r="D14" s="120">
        <f>SUM(D4:D13)</f>
        <v>250648</v>
      </c>
      <c r="E14" s="120">
        <f t="shared" ref="E14:F14" si="0">SUM(E4:E13)</f>
        <v>0</v>
      </c>
      <c r="F14" s="120">
        <f t="shared" si="0"/>
        <v>250648</v>
      </c>
      <c r="G14" s="155">
        <f>SUM(G4:G13)</f>
        <v>332070</v>
      </c>
      <c r="H14" s="86">
        <f>SUM(H4:H13)</f>
        <v>2506.48</v>
      </c>
      <c r="I14" s="121">
        <f>G14+H14</f>
        <v>334576.48</v>
      </c>
      <c r="J14" s="87">
        <f>F14-I14</f>
        <v>-83928.479999999981</v>
      </c>
      <c r="K14" s="124">
        <f>SUM(K11:K13)</f>
        <v>45116.639999999999</v>
      </c>
      <c r="L14" s="123">
        <f>J14+K14</f>
        <v>-38811.839999999982</v>
      </c>
    </row>
    <row r="15" spans="1:12" ht="18.75" customHeight="1" x14ac:dyDescent="0.25">
      <c r="B15" s="34"/>
    </row>
    <row r="16" spans="1:12" ht="19.5" customHeight="1" x14ac:dyDescent="0.25"/>
    <row r="17" spans="2:2" ht="19.5" customHeight="1" x14ac:dyDescent="0.25">
      <c r="B17" s="34"/>
    </row>
    <row r="18" spans="2:2" ht="19.5" customHeight="1" x14ac:dyDescent="0.25">
      <c r="B18" s="34"/>
    </row>
    <row r="19" spans="2:2" ht="18.75" customHeight="1" x14ac:dyDescent="0.25"/>
    <row r="20" spans="2:2" ht="20.45" customHeight="1" x14ac:dyDescent="0.25"/>
    <row r="21" spans="2:2" ht="18.600000000000001" customHeight="1" x14ac:dyDescent="0.25"/>
    <row r="22" spans="2:2" ht="15.75" customHeight="1" x14ac:dyDescent="0.25"/>
    <row r="24" spans="2:2" ht="15" customHeight="1" x14ac:dyDescent="0.25"/>
    <row r="25" spans="2:2" s="117" customFormat="1" ht="12" x14ac:dyDescent="0.2"/>
    <row r="26" spans="2:2" s="117" customFormat="1" ht="25.5" customHeight="1" x14ac:dyDescent="0.2"/>
    <row r="27" spans="2:2" s="117" customFormat="1" ht="18" customHeight="1" x14ac:dyDescent="0.2"/>
    <row r="28" spans="2:2" s="117" customFormat="1" ht="19.5" customHeight="1" x14ac:dyDescent="0.2"/>
    <row r="29" spans="2:2" s="117" customFormat="1" ht="19.5" customHeight="1" x14ac:dyDescent="0.2"/>
    <row r="30" spans="2:2" ht="18.75" customHeight="1" x14ac:dyDescent="0.25"/>
    <row r="31" spans="2:2" ht="18.75" customHeight="1" x14ac:dyDescent="0.25"/>
    <row r="32" spans="2:2" ht="21" customHeight="1" x14ac:dyDescent="0.25"/>
    <row r="33" spans="2:2" s="117" customFormat="1" ht="19.5" customHeight="1" x14ac:dyDescent="0.2"/>
    <row r="34" spans="2:2" s="117" customFormat="1" ht="19.5" customHeight="1" x14ac:dyDescent="0.2"/>
    <row r="35" spans="2:2" ht="18.75" customHeight="1" x14ac:dyDescent="0.25">
      <c r="B35" s="34"/>
    </row>
    <row r="36" spans="2:2" ht="18.75" customHeight="1" x14ac:dyDescent="0.25">
      <c r="B36" s="34"/>
    </row>
    <row r="37" spans="2:2" ht="21" customHeight="1" x14ac:dyDescent="0.25"/>
    <row r="39" spans="2:2" ht="15" customHeight="1" x14ac:dyDescent="0.25"/>
    <row r="40" spans="2:2" ht="18.75" customHeight="1" x14ac:dyDescent="0.25"/>
    <row r="41" spans="2:2" ht="18.75" customHeight="1" x14ac:dyDescent="0.25"/>
    <row r="42" spans="2:2" ht="18.75" customHeight="1" x14ac:dyDescent="0.25"/>
    <row r="44" spans="2:2" ht="15" customHeight="1" x14ac:dyDescent="0.25"/>
    <row r="45" spans="2:2" ht="18.75" customHeight="1" x14ac:dyDescent="0.25"/>
    <row r="46" spans="2:2" ht="18" customHeight="1" x14ac:dyDescent="0.25"/>
    <row r="47" spans="2:2" ht="19.5" customHeight="1" x14ac:dyDescent="0.25"/>
    <row r="49" ht="15" customHeight="1" x14ac:dyDescent="0.25"/>
    <row r="50" ht="18.75" customHeight="1" x14ac:dyDescent="0.25"/>
    <row r="51" ht="18" customHeight="1" x14ac:dyDescent="0.25"/>
    <row r="52" ht="19.5" customHeight="1" x14ac:dyDescent="0.25"/>
    <row r="53" ht="19.5" customHeight="1" x14ac:dyDescent="0.25"/>
    <row r="54" ht="15" customHeight="1" x14ac:dyDescent="0.25"/>
    <row r="56" ht="18.75" customHeight="1" x14ac:dyDescent="0.25"/>
    <row r="57" ht="18" customHeight="1" x14ac:dyDescent="0.25"/>
    <row r="58" ht="15" customHeight="1" x14ac:dyDescent="0.25"/>
    <row r="59" ht="20.25" customHeight="1" x14ac:dyDescent="0.25"/>
    <row r="60" ht="19.5" customHeight="1" x14ac:dyDescent="0.25"/>
    <row r="61" ht="16.5" customHeight="1" x14ac:dyDescent="0.25"/>
    <row r="62" ht="19.5" customHeight="1" x14ac:dyDescent="0.25"/>
    <row r="63" ht="15" customHeight="1" x14ac:dyDescent="0.25"/>
    <row r="64" ht="18.75" customHeight="1" x14ac:dyDescent="0.25"/>
    <row r="65" ht="18" customHeight="1" x14ac:dyDescent="0.25"/>
    <row r="66" ht="15.75" customHeight="1" x14ac:dyDescent="0.25"/>
    <row r="69" ht="15" customHeight="1" x14ac:dyDescent="0.25"/>
    <row r="70" ht="16.5" customHeight="1" x14ac:dyDescent="0.25"/>
    <row r="71" ht="18.75" customHeight="1" x14ac:dyDescent="0.25"/>
    <row r="72" ht="19.5" customHeight="1" x14ac:dyDescent="0.25"/>
    <row r="74" ht="15" customHeight="1" x14ac:dyDescent="0.25"/>
    <row r="75" ht="16.5" customHeight="1" x14ac:dyDescent="0.25"/>
    <row r="76" ht="18.75" customHeight="1" x14ac:dyDescent="0.25"/>
    <row r="77" ht="19.5" customHeight="1" x14ac:dyDescent="0.25"/>
    <row r="78" ht="15" customHeight="1" x14ac:dyDescent="0.25"/>
    <row r="79" ht="16.5" customHeight="1" x14ac:dyDescent="0.25"/>
    <row r="80" ht="18" customHeight="1" x14ac:dyDescent="0.25"/>
    <row r="81" spans="2:2" ht="15.75" customHeight="1" x14ac:dyDescent="0.25">
      <c r="B81" s="34"/>
    </row>
    <row r="82" spans="2:2" x14ac:dyDescent="0.25">
      <c r="B82" s="34"/>
    </row>
    <row r="83" spans="2:2" ht="15" customHeight="1" x14ac:dyDescent="0.25"/>
    <row r="84" spans="2:2" ht="18" customHeight="1" x14ac:dyDescent="0.25"/>
    <row r="85" spans="2:2" ht="18" customHeight="1" x14ac:dyDescent="0.25"/>
    <row r="86" spans="2:2" ht="15.75" customHeight="1" x14ac:dyDescent="0.25"/>
    <row r="89" spans="2:2" ht="15" customHeight="1" x14ac:dyDescent="0.25"/>
    <row r="90" spans="2:2" ht="19.5" customHeight="1" x14ac:dyDescent="0.25"/>
    <row r="91" spans="2:2" ht="17.25" customHeight="1" x14ac:dyDescent="0.25"/>
    <row r="92" spans="2:2" ht="15.75" customHeight="1" x14ac:dyDescent="0.25"/>
    <row r="93" spans="2:2" ht="15" customHeight="1" x14ac:dyDescent="0.25"/>
    <row r="94" spans="2:2" ht="18" customHeight="1" x14ac:dyDescent="0.25"/>
    <row r="95" spans="2:2" ht="18" customHeight="1" x14ac:dyDescent="0.25"/>
    <row r="96" spans="2:2" ht="15.75" customHeight="1" x14ac:dyDescent="0.25"/>
    <row r="98" ht="18.75" customHeight="1" x14ac:dyDescent="0.25"/>
    <row r="99" ht="18" customHeight="1" x14ac:dyDescent="0.25"/>
    <row r="101" ht="15.75" customHeight="1" x14ac:dyDescent="0.25"/>
    <row r="104" ht="22.5" customHeight="1" x14ac:dyDescent="0.25"/>
    <row r="105" ht="18" customHeight="1" x14ac:dyDescent="0.25"/>
    <row r="107" ht="15.75" customHeight="1" x14ac:dyDescent="0.25"/>
  </sheetData>
  <mergeCells count="11">
    <mergeCell ref="B14:C14"/>
    <mergeCell ref="C11:C13"/>
    <mergeCell ref="D12:D13"/>
    <mergeCell ref="E12:E13"/>
    <mergeCell ref="F12:F13"/>
    <mergeCell ref="K12:K13"/>
    <mergeCell ref="L12:L13"/>
    <mergeCell ref="G12:G13"/>
    <mergeCell ref="H12:H13"/>
    <mergeCell ref="I12:I13"/>
    <mergeCell ref="J12:J13"/>
  </mergeCells>
  <pageMargins left="1" right="0" top="0" bottom="0" header="0.3" footer="0.3"/>
  <pageSetup paperSize="9" orientation="landscape" horizontalDpi="4294967293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Tower S2 Wing</vt:lpstr>
      <vt:lpstr>Tower S3 Wing</vt:lpstr>
      <vt:lpstr>supply</vt:lpstr>
      <vt:lpstr>Balance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GIGABYTE</dc:creator>
  <cp:lastModifiedBy>win10</cp:lastModifiedBy>
  <cp:lastPrinted>2026-07-08T06:44:32Z</cp:lastPrinted>
  <dcterms:created xsi:type="dcterms:W3CDTF">2023-07-03T16:59:47Z</dcterms:created>
  <dcterms:modified xsi:type="dcterms:W3CDTF">2026-07-08T06:48:20Z</dcterms:modified>
</cp:coreProperties>
</file>